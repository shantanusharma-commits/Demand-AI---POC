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Prospecting rows" sheetId="3" state="visible" r:id="rId3"/>
    <sheet xmlns:r="http://schemas.openxmlformats.org/officeDocument/2006/relationships" name="Prospecting accounts" sheetId="4" state="visible" r:id="rId4"/>
    <sheet xmlns:r="http://schemas.openxmlformats.org/officeDocument/2006/relationships" name="Signal rows" sheetId="5" state="visible" r:id="rId5"/>
    <sheet xmlns:r="http://schemas.openxmlformats.org/officeDocument/2006/relationships" name="Scoring accounts" sheetId="6" state="visible" r:id="rId6"/>
    <sheet xmlns:r="http://schemas.openxmlformats.org/officeDocument/2006/relationships" name="Summary" sheetId="7" state="visible" r:id="rId7"/>
  </sheets>
  <definedNames>
    <definedName name="_xlnm._FilterDatabase" localSheetId="1" hidden="1">'Files'!$A$1:$L$49</definedName>
    <definedName name="_xlnm._FilterDatabase" localSheetId="2" hidden="1">'Prospecting rows'!$A$1:$J$172</definedName>
    <definedName name="_xlnm._FilterDatabase" localSheetId="3" hidden="1">'Prospecting accounts'!$A$1:$G$87</definedName>
    <definedName name="_xlnm._FilterDatabase" localSheetId="4" hidden="1">'Signal rows'!$A$1:$N$140</definedName>
    <definedName name="_xlnm._FilterDatabase" localSheetId="5" hidden="1">'Scoring accounts'!$A$1:$I$177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1F1F1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Upload test pack: drop each file into the POC as it is</t>
        </is>
      </c>
    </row>
    <row r="2">
      <c r="A2" s="2" t="inlineStr">
        <is>
          <t>48 files, one use case each. Nothing to edit: drag a file onto the upload box and compare what the POC shows with this workbook.</t>
        </is>
      </c>
    </row>
    <row r="3">
      <c r="A3" s="2" t="inlineStr"/>
    </row>
    <row r="4">
      <c r="A4" s="2" t="inlineStr">
        <is>
          <t>1-Prospecting (P01-P22): drop each file on the Prospecting upload box. Compare the check pane and the final list with "Prospecting rows" and "Prospecting accounts".</t>
        </is>
      </c>
    </row>
    <row r="5">
      <c r="A5" s="2" t="inlineStr">
        <is>
          <t>2-Account-Scoring (S01-S07) and 3-Signal-rules (G01-G14): these all use one prospect list, S00.</t>
        </is>
      </c>
    </row>
    <row r="6">
      <c r="A6" s="2" t="inlineStr">
        <is>
          <t xml:space="preserve">   Once: Account Scoring &gt; New scoring &gt; 1 · Prospect list &gt; "Upload a prospect file" &gt; drop S00_prospect_list_for_scoring_and_signals.csv. It is saved as a list.</t>
        </is>
      </c>
    </row>
    <row r="7">
      <c r="A7" s="2" t="inlineStr">
        <is>
          <t xml:space="preserve">   Then for each S or G file: choose that S00 list, set "Score as of" to 2026-10-20, and drop the file on box 2. Compare with "Signal rows" and "Scoring accounts".</t>
        </is>
      </c>
    </row>
    <row r="8">
      <c r="A8" s="2" t="inlineStr">
        <is>
          <t xml:space="preserve">   S01 is also scored on two later dates (shown in the "Score as of" column) to see signals fade.</t>
        </is>
      </c>
    </row>
    <row r="9">
      <c r="A9" s="2" t="inlineStr">
        <is>
          <t>4-Micro-segments-and-Review (N01-N04): each file holds a "Lead template" and a "Signal template" sheet. Upload it as the prospect list, then drop the same file as the signals; then send the scoring to Micro-segments &amp; NBA and open For Review.</t>
        </is>
      </c>
    </row>
    <row r="10">
      <c r="A10" s="2" t="inlineStr">
        <is>
          <t xml:space="preserve">   Their per-account answer keys are in ../poc-test-sets (TS6, TS8, TS9, TS10).</t>
        </is>
      </c>
    </row>
    <row r="11">
      <c r="A11" s="2" t="inlineStr"/>
    </row>
    <row r="12">
      <c r="A12" s="2" t="inlineStr">
        <is>
          <t>Always set Score as of to 2026-10-20 unless the row gives another date: signal ages are counted from that date.</t>
        </is>
      </c>
    </row>
    <row r="13">
      <c r="A13" s="2" t="inlineStr">
        <is>
          <t>Mark each file Pass, Fail, Blocked or Not in scope in "Files" (and row by row if you want). For every Fail, add a row to the Gap Log and put its ID in "Gap ID".</t>
        </is>
      </c>
    </row>
    <row r="14">
      <c r="A14" s="2" t="inlineStr">
        <is>
          <t>Rows marked "known gap" or "SHOULD" describe what the business would expect; the POC does something else today. They are expected to fail until fixed.</t>
        </is>
      </c>
    </row>
    <row r="15">
      <c r="A15" s="2" t="inlineStr"/>
    </row>
    <row r="16">
      <c r="A16" s="2" t="inlineStr">
        <is>
          <t>Every expected result was produced by reading the file exactly as the POC does and running it through the POC's own rules (legacy/demandai-engine.js).</t>
        </is>
      </c>
    </row>
    <row r="17">
      <c r="A17" s="2" t="inlineStr">
        <is>
          <t>All companies, people and domains are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30" customWidth="1" min="4" max="4"/>
    <col width="40" customWidth="1" min="5" max="5"/>
    <col width="44" customWidth="1" min="6" max="6"/>
    <col width="12" customWidth="1" min="7" max="7"/>
    <col width="50" customWidth="1" min="8" max="8"/>
    <col width="50" customWidth="1" min="9" max="9"/>
    <col width="11" customWidth="1" min="10" max="10"/>
    <col width="34" customWidth="1" min="11" max="11"/>
    <col width="9" customWidth="1" min="12" max="12"/>
  </cols>
  <sheetData>
    <row r="1">
      <c r="A1" s="3" t="inlineStr">
        <is>
          <t>ID</t>
        </is>
      </c>
      <c r="B1" s="3" t="inlineStr">
        <is>
          <t>Folder</t>
        </is>
      </c>
      <c r="C1" s="3" t="inlineStr">
        <is>
          <t>File</t>
        </is>
      </c>
      <c r="D1" s="3" t="inlineStr">
        <is>
          <t>Use case</t>
        </is>
      </c>
      <c r="E1" s="3" t="inlineStr">
        <is>
          <t>Why it matters</t>
        </is>
      </c>
      <c r="F1" s="3" t="inlineStr">
        <is>
          <t>How to run it</t>
        </is>
      </c>
      <c r="G1" s="3" t="inlineStr">
        <is>
          <t>Score as of</t>
        </is>
      </c>
      <c r="H1" s="3" t="inlineStr">
        <is>
          <t>What you should see</t>
        </is>
      </c>
      <c r="I1" s="3" t="inlineStr">
        <is>
          <t>Exact counts (from the POC rules)</t>
        </is>
      </c>
      <c r="J1" s="3" t="inlineStr">
        <is>
          <t>Status</t>
        </is>
      </c>
      <c r="K1" s="3" t="inlineStr">
        <is>
          <t>What actually happened</t>
        </is>
      </c>
      <c r="L1" s="3" t="inlineStr">
        <is>
          <t>Gap ID</t>
        </is>
      </c>
    </row>
    <row r="2">
      <c r="A2" s="4" t="inlineStr">
        <is>
          <t>P01</t>
        </is>
      </c>
      <c r="B2" s="4" t="inlineStr">
        <is>
          <t>1-Prospecting</t>
        </is>
      </c>
      <c r="C2" s="4" t="inlineStr">
        <is>
          <t>P01_clean_list.xlsx</t>
        </is>
      </c>
      <c r="D2" s="4" t="inlineStr">
        <is>
          <t>A clean list</t>
        </is>
      </c>
      <c r="E2" s="4" t="inlineStr">
        <is>
          <t>The happy path: every row is fine, so nothing is flagged.</t>
        </is>
      </c>
      <c r="F2" s="4" t="inlineStr">
        <is>
          <t>Prospecting: drop P01_clean_list.xlsx on the upload box.</t>
        </is>
      </c>
      <c r="G2" s="4" t="inlineStr">
        <is>
          <t>n/a</t>
        </is>
      </c>
      <c r="H2" s="4" t="inlineStr">
        <is>
          <t>15 rows read, 0 issues, 5 accounts, all 5 pass, 15 contacts in the final list.</t>
        </is>
      </c>
      <c r="I2" s="4" t="inlineStr">
        <is>
          <t>15 rows read; 0 not loaded; 0 merged; 5 accounts, 5 pass; 15 in the final list. Issues: 0 stop, 0 flagged, 0 notes.</t>
        </is>
      </c>
      <c r="J2" s="5" t="inlineStr">
        <is>
          <t>Not run</t>
        </is>
      </c>
      <c r="K2" s="5" t="inlineStr"/>
      <c r="L2" s="5" t="inlineStr"/>
    </row>
    <row r="3">
      <c r="A3" s="4" t="inlineStr">
        <is>
          <t>P02</t>
        </is>
      </c>
      <c r="B3" s="4" t="inlineStr">
        <is>
          <t>1-Prospecting</t>
        </is>
      </c>
      <c r="C3" s="4" t="inlineStr">
        <is>
          <t>P02_email_problems.xlsx</t>
        </is>
      </c>
      <c r="D3" s="4" t="inlineStr">
        <is>
          <t>Email problems</t>
        </is>
      </c>
      <c r="E3" s="4" t="inlineStr">
        <is>
          <t>Each row has one thing wrong (or nearly wrong) with the email or its verified flag.</t>
        </is>
      </c>
      <c r="F3" s="4" t="inlineStr">
        <is>
          <t>Prospecting: drop P02_email_problems.xlsx on the upload box.</t>
        </is>
      </c>
      <c r="G3" s="4" t="inlineStr">
        <is>
          <t>n/a</t>
        </is>
      </c>
      <c r="H3" s="4" t="inlineStr">
        <is>
          <t>Malformed emails and a non Y/N verified flag are flagged (D3); unverified emails are noted but not used to send.</t>
        </is>
      </c>
      <c r="I3" s="4" t="inlineStr">
        <is>
          <t>12 rows read; 0 not loaded; 0 merged; 1 accounts, 1 pass; 10 in the final list. Issues: 0 stop, 5 flagged, 5 notes.</t>
        </is>
      </c>
      <c r="J3" s="5" t="inlineStr">
        <is>
          <t>Not run</t>
        </is>
      </c>
      <c r="K3" s="5" t="inlineStr"/>
      <c r="L3" s="5" t="inlineStr"/>
    </row>
    <row r="4">
      <c r="A4" s="4" t="inlineStr">
        <is>
          <t>P03</t>
        </is>
      </c>
      <c r="B4" s="4" t="inlineStr">
        <is>
          <t>1-Prospecting</t>
        </is>
      </c>
      <c r="C4" s="4" t="inlineStr">
        <is>
          <t>P03_linkedin_and_no_contact_details.xlsx</t>
        </is>
      </c>
      <c r="D4" s="4" t="inlineStr">
        <is>
          <t>LinkedIn problems and missing contact details</t>
        </is>
      </c>
      <c r="E4" s="4" t="inlineStr">
        <is>
          <t>LinkedIn URL forms, and rows with no way to contact the person.</t>
        </is>
      </c>
      <c r="F4" s="4" t="inlineStr">
        <is>
          <t>Prospecting: drop P03_linkedin_and_no_contact_details.xlsx on the upload box.</t>
        </is>
      </c>
      <c r="G4" s="4" t="inlineStr">
        <is>
          <t>n/a</t>
        </is>
      </c>
      <c r="H4" s="4" t="inlineStr">
        <is>
          <t>Bad LinkedIn URLs and rows with neither email nor LinkedIn are flagged (D3); the others load.</t>
        </is>
      </c>
      <c r="I4" s="4" t="inlineStr">
        <is>
          <t>8 rows read; 0 not loaded; 0 merged; 1 accounts, 1 pass; 7 in the final list. Issues: 0 stop, 3 flagged, 1 notes.</t>
        </is>
      </c>
      <c r="J4" s="5" t="inlineStr">
        <is>
          <t>Not run</t>
        </is>
      </c>
      <c r="K4" s="5" t="inlineStr"/>
      <c r="L4" s="5" t="inlineStr"/>
    </row>
    <row r="5">
      <c r="A5" s="4" t="inlineStr">
        <is>
          <t>P04</t>
        </is>
      </c>
      <c r="B5" s="4" t="inlineStr">
        <is>
          <t>1-Prospecting</t>
        </is>
      </c>
      <c r="C5" s="4" t="inlineStr">
        <is>
          <t>P04_duplicates.xlsx</t>
        </is>
      </c>
      <c r="D5" s="4" t="inlineStr">
        <is>
          <t>Duplicate contacts</t>
        </is>
      </c>
      <c r="E5" s="4" t="inlineStr">
        <is>
          <t>The same person twice, written differently. Duplicates are merged into the first row.</t>
        </is>
      </c>
      <c r="F5" s="4" t="inlineStr">
        <is>
          <t>Prospecting: drop P04_duplicates.xlsx on the upload box.</t>
        </is>
      </c>
      <c r="G5" s="4" t="inlineStr">
        <is>
          <t>n/a</t>
        </is>
      </c>
      <c r="H5" s="4" t="inlineStr">
        <is>
          <t>6 rows read, 3 merged as duplicates (D5), 3 contacts left.</t>
        </is>
      </c>
      <c r="I5" s="4" t="inlineStr">
        <is>
          <t>6 rows read; 0 not loaded; 3 merged; 1 accounts, 1 pass; 3 in the final list. Issues: 0 stop, 3 flagged, 4 notes.</t>
        </is>
      </c>
      <c r="J5" s="5" t="inlineStr">
        <is>
          <t>Not run</t>
        </is>
      </c>
      <c r="K5" s="5" t="inlineStr"/>
      <c r="L5" s="5" t="inlineStr"/>
    </row>
    <row r="6">
      <c r="A6" s="4" t="inlineStr">
        <is>
          <t>P05</t>
        </is>
      </c>
      <c r="B6" s="4" t="inlineStr">
        <is>
          <t>1-Prospecting</t>
        </is>
      </c>
      <c r="C6" s="4" t="inlineStr">
        <is>
          <t>P05_consent_and_opt_out.xlsx</t>
        </is>
      </c>
      <c r="D6" s="4" t="inlineStr">
        <is>
          <t>Consent and opt-out</t>
        </is>
      </c>
      <c r="E6" s="4" t="inlineStr">
        <is>
          <t>Every consent basis and opt-out value, and an account where everyone opted out.</t>
        </is>
      </c>
      <c r="F6" s="4" t="inlineStr">
        <is>
          <t>Prospecting: drop P05_consent_and_opt_out.xlsx on the upload box.</t>
        </is>
      </c>
      <c r="G6" s="4" t="inlineStr">
        <is>
          <t>n/a</t>
        </is>
      </c>
      <c r="H6" s="4" t="inlineStr">
        <is>
          <t>Fairway passes with 4 contactable; Glenrock Refining is excluded (no contacts left after suppression).</t>
        </is>
      </c>
      <c r="I6" s="4" t="inlineStr">
        <is>
          <t>12 rows read; 0 not loaded; 0 merged; 2 accounts, 1 pass; 4 in the final list. Issues: 0 stop, 4 flagged, 4 notes.</t>
        </is>
      </c>
      <c r="J6" s="5" t="inlineStr">
        <is>
          <t>Not run</t>
        </is>
      </c>
      <c r="K6" s="5" t="inlineStr"/>
      <c r="L6" s="5" t="inlineStr"/>
    </row>
    <row r="7">
      <c r="A7" s="4" t="inlineStr">
        <is>
          <t>P06</t>
        </is>
      </c>
      <c r="B7" s="4" t="inlineStr">
        <is>
          <t>1-Prospecting</t>
        </is>
      </c>
      <c r="C7" s="4" t="inlineStr">
        <is>
          <t>P06_region.xlsx</t>
        </is>
      </c>
      <c r="D7" s="4" t="inlineStr">
        <is>
          <t>Pilot region</t>
        </is>
      </c>
      <c r="E7" s="4" t="inlineStr">
        <is>
          <t>One company per country spelling. Only the six pilot countries pass; names are matched exactly (case does not matter).</t>
        </is>
      </c>
      <c r="F7" s="4" t="inlineStr">
        <is>
          <t>Prospecting: drop P06_region.xlsx on the upload box.</t>
        </is>
      </c>
      <c r="G7" s="4" t="inlineStr">
        <is>
          <t>n/a</t>
        </is>
      </c>
      <c r="H7" s="4" t="inlineStr">
        <is>
          <t>11 accounts: 8 pass, 3 excluded (SG, Australia, no country).</t>
        </is>
      </c>
      <c r="I7" s="4" t="inlineStr">
        <is>
          <t>11 rows read; 0 not loaded; 0 merged; 11 accounts, 8 pass; 8 in the final list. Issues: 0 stop, 1 flagged, 0 notes.</t>
        </is>
      </c>
      <c r="J7" s="5" t="inlineStr">
        <is>
          <t>Not run</t>
        </is>
      </c>
      <c r="K7" s="5" t="inlineStr"/>
      <c r="L7" s="5" t="inlineStr"/>
    </row>
    <row r="8">
      <c r="A8" s="4" t="inlineStr">
        <is>
          <t>P07</t>
        </is>
      </c>
      <c r="B8" s="4" t="inlineStr">
        <is>
          <t>1-Prospecting</t>
        </is>
      </c>
      <c r="C8" s="4" t="inlineStr">
        <is>
          <t>P07_managed_separately_and_existing_customer.xlsx</t>
        </is>
      </c>
      <c r="D8" s="4" t="inlineStr">
        <is>
          <t>Managed separately and existing customer</t>
        </is>
      </c>
      <c r="E8" s="4" t="inlineStr">
        <is>
          <t>The two Y/N company flags with every kind of value.</t>
        </is>
      </c>
      <c r="F8" s="4" t="inlineStr">
        <is>
          <t>Prospecting: drop P07_managed_separately_and_existing_customer.xlsx on the upload box.</t>
        </is>
      </c>
      <c r="G8" s="4" t="inlineStr">
        <is>
          <t>n/a</t>
        </is>
      </c>
      <c r="H8" s="4" t="inlineStr">
        <is>
          <t>Anchor Refining excluded (managed separately); the other 7 pass; blank and invalid flags are flagged D3.</t>
        </is>
      </c>
      <c r="I8" s="4" t="inlineStr">
        <is>
          <t>8 rows read; 0 not loaded; 0 merged; 8 accounts, 7 pass; 7 in the final list. Issues: 0 stop, 4 flagged, 0 notes.</t>
        </is>
      </c>
      <c r="J8" s="5" t="inlineStr">
        <is>
          <t>Not run</t>
        </is>
      </c>
      <c r="K8" s="5" t="inlineStr"/>
      <c r="L8" s="5" t="inlineStr"/>
    </row>
    <row r="9">
      <c r="A9" s="4" t="inlineStr">
        <is>
          <t>P08</t>
        </is>
      </c>
      <c r="B9" s="4" t="inlineStr">
        <is>
          <t>1-Prospecting</t>
        </is>
      </c>
      <c r="C9" s="4" t="inlineStr">
        <is>
          <t>P08_company_size_formats.xlsx</t>
        </is>
      </c>
      <c r="D9" s="4" t="inlineStr">
        <is>
          <t>Company size formats</t>
        </is>
      </c>
      <c r="E9" s="4" t="inlineStr">
        <is>
          <t>Revenue and headcount written in different ways. One company per row.</t>
        </is>
      </c>
      <c r="F9" s="4" t="inlineStr">
        <is>
          <t>Prospecting: drop P08_company_size_formats.xlsx on the upload box.</t>
        </is>
      </c>
      <c r="G9" s="4" t="inlineStr">
        <is>
          <t>n/a</t>
        </is>
      </c>
      <c r="H9" s="4" t="inlineStr">
        <is>
          <t>All 9 load; commas, symbols and text in size columns are flagged D3 with what was read.</t>
        </is>
      </c>
      <c r="I9" s="4" t="inlineStr">
        <is>
          <t>9 rows read; 0 not loaded; 0 merged; 9 accounts, 9 pass; 9 in the final list. Issues: 0 stop, 8 flagged, 0 notes.</t>
        </is>
      </c>
      <c r="J9" s="5" t="inlineStr">
        <is>
          <t>Not run</t>
        </is>
      </c>
      <c r="K9" s="5" t="inlineStr"/>
      <c r="L9" s="5" t="inlineStr"/>
    </row>
    <row r="10">
      <c r="A10" s="4" t="inlineStr">
        <is>
          <t>P09</t>
        </is>
      </c>
      <c r="B10" s="4" t="inlineStr">
        <is>
          <t>1-Prospecting</t>
        </is>
      </c>
      <c r="C10" s="4" t="inlineStr">
        <is>
          <t>P09_account_types.xlsx</t>
        </is>
      </c>
      <c r="D10" s="4" t="inlineStr">
        <is>
          <t>Account types</t>
        </is>
      </c>
      <c r="E10" s="4" t="inlineStr">
        <is>
          <t>Each account type on the list, plus blank and one not on the list.</t>
        </is>
      </c>
      <c r="F10" s="4" t="inlineStr">
        <is>
          <t>Prospecting: drop P09_account_types.xlsx on the upload box.</t>
        </is>
      </c>
      <c r="G10" s="4" t="inlineStr">
        <is>
          <t>n/a</t>
        </is>
      </c>
      <c r="H10" s="4" t="inlineStr">
        <is>
          <t>All 8 load; "Trader" is flagged D3; blank is a note.</t>
        </is>
      </c>
      <c r="I10" s="4" t="inlineStr">
        <is>
          <t>8 rows read; 0 not loaded; 0 merged; 8 accounts, 8 pass; 8 in the final list. Issues: 0 stop, 1 flagged, 1 notes.</t>
        </is>
      </c>
      <c r="J10" s="5" t="inlineStr">
        <is>
          <t>Not run</t>
        </is>
      </c>
      <c r="K10" s="5" t="inlineStr"/>
      <c r="L10" s="5" t="inlineStr"/>
    </row>
    <row r="11">
      <c r="A11" s="4" t="inlineStr">
        <is>
          <t>P10</t>
        </is>
      </c>
      <c r="B11" s="4" t="inlineStr">
        <is>
          <t>1-Prospecting</t>
        </is>
      </c>
      <c r="C11" s="4" t="inlineStr">
        <is>
          <t>P10_industry_classification.xlsx</t>
        </is>
      </c>
      <c r="D11" s="4" t="inlineStr">
        <is>
          <t>Industry and site classification</t>
        </is>
      </c>
      <c r="E11" s="4" t="inlineStr">
        <is>
          <t>How each industry and site process maps to a vertical (core, adjacent or other).</t>
        </is>
      </c>
      <c r="F11" s="4" t="inlineStr">
        <is>
          <t>Prospecting: drop P10_industry_classification.xlsx on the upload box.</t>
        </is>
      </c>
      <c r="G11" s="4" t="inlineStr">
        <is>
          <t>n/a</t>
        </is>
      </c>
      <c r="H11" s="4" t="inlineStr">
        <is>
          <t>All 8 load; Echo Water and Halo Chemicals are held for review as Other; Flint Energy is flagged for no industry.</t>
        </is>
      </c>
      <c r="I11" s="4" t="inlineStr">
        <is>
          <t>8 rows read; 0 not loaded; 0 merged; 8 accounts, 8 pass; 8 in the final list. Issues: 0 stop, 1 flagged, 0 notes.</t>
        </is>
      </c>
      <c r="J11" s="5" t="inlineStr">
        <is>
          <t>Not run</t>
        </is>
      </c>
      <c r="K11" s="5" t="inlineStr"/>
      <c r="L11" s="5" t="inlineStr"/>
    </row>
    <row r="12">
      <c r="A12" s="4" t="inlineStr">
        <is>
          <t>P11</t>
        </is>
      </c>
      <c r="B12" s="4" t="inlineStr">
        <is>
          <t>1-Prospecting</t>
        </is>
      </c>
      <c r="C12" s="4" t="inlineStr">
        <is>
          <t>P11_job_titles_and_persona.xlsx</t>
        </is>
      </c>
      <c r="D12" s="4" t="inlineStr">
        <is>
          <t>Job titles and persona</t>
        </is>
      </c>
      <c r="E12" s="4" t="inlineStr">
        <is>
          <t>Which job titles count as the primary persona (the buyer), secondary, or none.</t>
        </is>
      </c>
      <c r="F12" s="4" t="inlineStr">
        <is>
          <t>Prospecting: drop P11_job_titles_and_persona.xlsx on the upload box.</t>
        </is>
      </c>
      <c r="G12" s="4" t="inlineStr">
        <is>
          <t>n/a</t>
        </is>
      </c>
      <c r="H12" s="4" t="inlineStr">
        <is>
          <t>All 15 load in one account; 6 primary, 6 secondary, 3 none; the blank title is flagged.</t>
        </is>
      </c>
      <c r="I12" s="4" t="inlineStr">
        <is>
          <t>15 rows read; 0 not loaded; 0 merged; 1 accounts, 1 pass; 15 in the final list. Issues: 0 stop, 1 flagged, 0 notes.</t>
        </is>
      </c>
      <c r="J12" s="5" t="inlineStr">
        <is>
          <t>Not run</t>
        </is>
      </c>
      <c r="K12" s="5" t="inlineStr"/>
      <c r="L12" s="5" t="inlineStr"/>
    </row>
    <row r="13">
      <c r="A13" s="4" t="inlineStr">
        <is>
          <t>P12</t>
        </is>
      </c>
      <c r="B13" s="4" t="inlineStr">
        <is>
          <t>1-Prospecting</t>
        </is>
      </c>
      <c r="C13" s="4" t="inlineStr">
        <is>
          <t>P12_owner_rep.xlsx</t>
        </is>
      </c>
      <c r="D13" s="4" t="inlineStr">
        <is>
          <t>Owner rep</t>
        </is>
      </c>
      <c r="E13" s="4" t="inlineStr">
        <is>
          <t>The owner_email column: who the account belongs to.</t>
        </is>
      </c>
      <c r="F13" s="4" t="inlineStr">
        <is>
          <t>Prospecting: drop P12_owner_rep.xlsx on the upload box.</t>
        </is>
      </c>
      <c r="G13" s="4" t="inlineStr">
        <is>
          <t>n/a</t>
        </is>
      </c>
      <c r="H13" s="4" t="inlineStr">
        <is>
          <t>All 6 load; blank and invalid owners are flagged D3.</t>
        </is>
      </c>
      <c r="I13" s="4" t="inlineStr">
        <is>
          <t>6 rows read; 0 not loaded; 0 merged; 6 accounts, 6 pass; 6 in the final list. Issues: 0 stop, 3 flagged, 0 notes.</t>
        </is>
      </c>
      <c r="J13" s="5" t="inlineStr">
        <is>
          <t>Not run</t>
        </is>
      </c>
      <c r="K13" s="5" t="inlineStr"/>
      <c r="L13" s="5" t="inlineStr"/>
    </row>
    <row r="14">
      <c r="A14" s="4" t="inlineStr">
        <is>
          <t>P13</t>
        </is>
      </c>
      <c r="B14" s="4" t="inlineStr">
        <is>
          <t>1-Prospecting</t>
        </is>
      </c>
      <c r="C14" s="4" t="inlineStr">
        <is>
          <t>P13_company_details_differ.xlsx</t>
        </is>
      </c>
      <c r="D14" s="4" t="inlineStr">
        <is>
          <t>Company details that differ between rows</t>
        </is>
      </c>
      <c r="E14" s="4" t="inlineStr">
        <is>
          <t>The same company on several rows with different details. The first row wins and the rest are flagged.</t>
        </is>
      </c>
      <c r="F14" s="4" t="inlineStr">
        <is>
          <t>Prospecting: drop P13_company_details_differ.xlsx on the upload box.</t>
        </is>
      </c>
      <c r="G14" s="4" t="inlineStr">
        <is>
          <t>n/a</t>
        </is>
      </c>
      <c r="H14" s="4" t="inlineStr">
        <is>
          <t>7 rows, 1 account (Ridge Refining); 6 "differs from row 2" flags.</t>
        </is>
      </c>
      <c r="I14" s="4" t="inlineStr">
        <is>
          <t>7 rows read; 0 not loaded; 0 merged; 1 accounts, 1 pass; 7 in the final list. Issues: 0 stop, 6 flagged, 0 notes.</t>
        </is>
      </c>
      <c r="J14" s="5" t="inlineStr">
        <is>
          <t>Not run</t>
        </is>
      </c>
      <c r="K14" s="5" t="inlineStr"/>
      <c r="L14" s="5" t="inlineStr"/>
    </row>
    <row r="15">
      <c r="A15" s="4" t="inlineStr">
        <is>
          <t>P14</t>
        </is>
      </c>
      <c r="B15" s="4" t="inlineStr">
        <is>
          <t>1-Prospecting</t>
        </is>
      </c>
      <c r="C15" s="4" t="inlineStr">
        <is>
          <t>P14_missing_values.xlsx</t>
        </is>
      </c>
      <c r="D15" s="4" t="inlineStr">
        <is>
          <t>Missing or badly written values</t>
        </is>
      </c>
      <c r="E15" s="4" t="inlineStr">
        <is>
          <t>Required values left blank or written in the wrong form.</t>
        </is>
      </c>
      <c r="F15" s="4" t="inlineStr">
        <is>
          <t>Prospecting: drop P14_missing_values.xlsx on the upload box.</t>
        </is>
      </c>
      <c r="G15" s="4" t="inlineStr">
        <is>
          <t>n/a</t>
        </is>
      </c>
      <c r="H15" s="4" t="inlineStr">
        <is>
          <t>8 rows read, 1 not loaded; the others load with one flag each.</t>
        </is>
      </c>
      <c r="I15" s="4" t="inlineStr">
        <is>
          <t>8 rows read; 1 not loaded; 0 merged; 1 accounts, 1 pass; 7 in the final list. Issues: 1 stop, 6 flagged, 0 notes.</t>
        </is>
      </c>
      <c r="J15" s="5" t="inlineStr">
        <is>
          <t>Not run</t>
        </is>
      </c>
      <c r="K15" s="5" t="inlineStr"/>
      <c r="L15" s="5" t="inlineStr"/>
    </row>
    <row r="16">
      <c r="A16" s="4" t="inlineStr">
        <is>
          <t>P15</t>
        </is>
      </c>
      <c r="B16" s="4" t="inlineStr">
        <is>
          <t>1-Prospecting</t>
        </is>
      </c>
      <c r="C16" s="4" t="inlineStr">
        <is>
          <t>P15_missing_columns.xlsx</t>
        </is>
      </c>
      <c r="D16" s="4" t="inlineStr">
        <is>
          <t>Columns missing from the file</t>
        </is>
      </c>
      <c r="E16" s="4" t="inlineStr">
        <is>
          <t>The file has no owner_email, consent_basis or opt_out columns. Every row is treated as having them blank.</t>
        </is>
      </c>
      <c r="F16" s="4" t="inlineStr">
        <is>
          <t>Prospecting: drop P15_missing_columns.xlsx on the upload box.</t>
        </is>
      </c>
      <c r="G16" s="4" t="inlineStr">
        <is>
          <t>n/a</t>
        </is>
      </c>
      <c r="H16" s="4" t="inlineStr">
        <is>
          <t>Three "required column is missing" flags; no contact is contactable (no consent basis, opt-out not confirmed). Both accounts still pass.</t>
        </is>
      </c>
      <c r="I16" s="4" t="inlineStr">
        <is>
          <t>3 rows read; 0 not loaded; 0 merged; 2 accounts, 2 pass; 0 in the final list. Issues: 0 stop, 3 flagged, 0 notes.</t>
        </is>
      </c>
      <c r="J16" s="5" t="inlineStr">
        <is>
          <t>Not run</t>
        </is>
      </c>
      <c r="K16" s="5" t="inlineStr"/>
      <c r="L16" s="5" t="inlineStr"/>
    </row>
    <row r="17">
      <c r="A17" s="4" t="inlineStr">
        <is>
          <t>P16</t>
        </is>
      </c>
      <c r="B17" s="4" t="inlineStr">
        <is>
          <t>1-Prospecting</t>
        </is>
      </c>
      <c r="C17" s="4" t="inlineStr">
        <is>
          <t>P16_no_company_name_column.xlsx</t>
        </is>
      </c>
      <c r="D17" s="4" t="inlineStr">
        <is>
          <t>No company_name column</t>
        </is>
      </c>
      <c r="E17" s="4" t="inlineStr">
        <is>
          <t>Without company_name the file cannot be read at all.</t>
        </is>
      </c>
      <c r="F17" s="4" t="inlineStr">
        <is>
          <t>Prospecting: drop P16_no_company_name_column.xlsx on the upload box.</t>
        </is>
      </c>
      <c r="G17" s="4" t="inlineStr">
        <is>
          <t>n/a</t>
        </is>
      </c>
      <c r="H17" s="4" t="inlineStr">
        <is>
          <t>File not processed: "Couldn't find the header row". Nothing is loaded.</t>
        </is>
      </c>
      <c r="I17" s="4" t="inlineStr">
        <is>
          <t>File not processed (stop): Couldn't find the header row (looked for a row containing "company_name")</t>
        </is>
      </c>
      <c r="J17" s="5" t="inlineStr">
        <is>
          <t>Not run</t>
        </is>
      </c>
      <c r="K17" s="5" t="inlineStr"/>
      <c r="L17" s="5" t="inlineStr"/>
    </row>
    <row r="18">
      <c r="A18" s="4" t="inlineStr">
        <is>
          <t>P17</t>
        </is>
      </c>
      <c r="B18" s="4" t="inlineStr">
        <is>
          <t>1-Prospecting</t>
        </is>
      </c>
      <c r="C18" s="4" t="inlineStr">
        <is>
          <t>P17_template_style_headers.xlsx</t>
        </is>
      </c>
      <c r="D18" s="4" t="inlineStr">
        <is>
          <t>Template layout: title row, headers with * and spaces, format-hints row, extra columns</t>
        </is>
      </c>
      <c r="E18" s="4" t="inlineStr">
        <is>
          <t>A file filled in on the template as people really do: a title above the headers, "First Name*" style headers, the hints row left in, and two columns of their own.</t>
        </is>
      </c>
      <c r="F18" s="4" t="inlineStr">
        <is>
          <t>Prospecting: drop P17_template_style_headers.xlsx.</t>
        </is>
      </c>
      <c r="G18" s="4" t="inlineStr">
        <is>
          <t>n/a</t>
        </is>
      </c>
      <c r="H18" s="4" t="inlineStr">
        <is>
          <t>Header found on row 2; hints row skipped (note); "Notes" and "Lead score" ignored (notes); 2 contacts load.</t>
        </is>
      </c>
      <c r="I18" s="4" t="inlineStr">
        <is>
          <t>2 rows read; 0 not loaded; 0 merged; 1 accounts, 1 pass; 2 in the final list. Issues: 0 stop, 0 flagged, 3 notes.</t>
        </is>
      </c>
      <c r="J18" s="5" t="inlineStr">
        <is>
          <t>Not run</t>
        </is>
      </c>
      <c r="K18" s="5" t="inlineStr"/>
      <c r="L18" s="5" t="inlineStr"/>
    </row>
    <row r="19">
      <c r="A19" s="4" t="inlineStr">
        <is>
          <t>P18</t>
        </is>
      </c>
      <c r="B19" s="4" t="inlineStr">
        <is>
          <t>1-Prospecting</t>
        </is>
      </c>
      <c r="C19" s="4" t="inlineStr">
        <is>
          <t>P18_excel_with_several_sheets.xlsx</t>
        </is>
      </c>
      <c r="D19" s="4" t="inlineStr">
        <is>
          <t>Excel workbook with several sheets</t>
        </is>
      </c>
      <c r="E19" s="4" t="inlineStr">
        <is>
          <t>The POC must pick the "Lead template" sheet, not the first sheet.</t>
        </is>
      </c>
      <c r="F19" s="4" t="inlineStr">
        <is>
          <t>Prospecting: drop P18_excel_with_several_sheets.xlsx.</t>
        </is>
      </c>
      <c r="G19" s="4" t="inlineStr">
        <is>
          <t>n/a</t>
        </is>
      </c>
      <c r="H19" s="4" t="inlineStr">
        <is>
          <t>Reads the "Lead template" sheet: 2 rows, 1 account, 0 issues.</t>
        </is>
      </c>
      <c r="I19" s="4" t="inlineStr">
        <is>
          <t>2 rows read; 0 not loaded; 0 merged; 1 accounts, 1 pass; 2 in the final list. Issues: 0 stop, 0 flagged, 0 notes.</t>
        </is>
      </c>
      <c r="J19" s="5" t="inlineStr">
        <is>
          <t>Not run</t>
        </is>
      </c>
      <c r="K19" s="5" t="inlineStr"/>
      <c r="L19" s="5" t="inlineStr"/>
    </row>
    <row r="20">
      <c r="A20" s="4" t="inlineStr">
        <is>
          <t>P19</t>
        </is>
      </c>
      <c r="B20" s="4" t="inlineStr">
        <is>
          <t>1-Prospecting</t>
        </is>
      </c>
      <c r="C20" s="4" t="inlineStr">
        <is>
          <t>P19_wrong_file_signal_file.xlsx</t>
        </is>
      </c>
      <c r="D20" s="4" t="inlineStr">
        <is>
          <t>Wrong file: a signal file dropped into Prospecting</t>
        </is>
      </c>
      <c r="E20" s="4" t="inlineStr">
        <is>
          <t>Someone uploads the wrong template.</t>
        </is>
      </c>
      <c r="F20" s="4" t="inlineStr">
        <is>
          <t>Prospecting: drop P19_wrong_file_signal_file.xlsx.</t>
        </is>
      </c>
      <c r="G20" s="4" t="inlineStr">
        <is>
          <t>n/a</t>
        </is>
      </c>
      <c r="H20" s="4" t="inlineStr">
        <is>
          <t>File not processed: the lead header row is not found. Nothing loads, with a message saying why.</t>
        </is>
      </c>
      <c r="I20" s="4" t="inlineStr">
        <is>
          <t>File not processed (stop): Couldn't find the header row (looked for a row containing "company_name")</t>
        </is>
      </c>
      <c r="J20" s="5" t="inlineStr">
        <is>
          <t>Not run</t>
        </is>
      </c>
      <c r="K20" s="5" t="inlineStr"/>
      <c r="L20" s="5" t="inlineStr"/>
    </row>
    <row r="21">
      <c r="A21" s="4" t="inlineStr">
        <is>
          <t>P20</t>
        </is>
      </c>
      <c r="B21" s="4" t="inlineStr">
        <is>
          <t>1-Prospecting</t>
        </is>
      </c>
      <c r="C21" s="4" t="inlineStr">
        <is>
          <t>P20_headers_only.xlsx</t>
        </is>
      </c>
      <c r="D21" s="4" t="inlineStr">
        <is>
          <t>Empty template: headers only</t>
        </is>
      </c>
      <c r="E21" s="4" t="inlineStr">
        <is>
          <t>An empty file must not break the page.</t>
        </is>
      </c>
      <c r="F21" s="4" t="inlineStr">
        <is>
          <t>Prospecting: drop P20_headers_only.xlsx.</t>
        </is>
      </c>
      <c r="G21" s="4" t="inlineStr">
        <is>
          <t>n/a</t>
        </is>
      </c>
      <c r="H21" s="4" t="inlineStr">
        <is>
          <t>0 rows read, 0 accounts; a clear empty state, no error.</t>
        </is>
      </c>
      <c r="I21" s="4" t="inlineStr">
        <is>
          <t>0 rows read; 0 not loaded; 0 merged; 0 accounts, 0 pass; 0 in the final list. Issues: 0 stop, 0 flagged, 0 notes.</t>
        </is>
      </c>
      <c r="J21" s="5" t="inlineStr">
        <is>
          <t>Not run</t>
        </is>
      </c>
      <c r="K21" s="5" t="inlineStr"/>
      <c r="L21" s="5" t="inlineStr"/>
    </row>
    <row r="22">
      <c r="A22" s="4" t="inlineStr">
        <is>
          <t>P21</t>
        </is>
      </c>
      <c r="B22" s="4" t="inlineStr">
        <is>
          <t>1-Prospecting</t>
        </is>
      </c>
      <c r="C22" s="4" t="inlineStr">
        <is>
          <t>P21_columns_in_another_order.xlsx</t>
        </is>
      </c>
      <c r="D22" s="4" t="inlineStr">
        <is>
          <t>Columns in a different order</t>
        </is>
      </c>
      <c r="E22" s="4" t="inlineStr">
        <is>
          <t>The template columns, but in reverse order.</t>
        </is>
      </c>
      <c r="F22" s="4" t="inlineStr">
        <is>
          <t>Prospecting: drop P21_columns_in_another_order.xlsx on the upload box.</t>
        </is>
      </c>
      <c r="G22" s="4" t="inlineStr">
        <is>
          <t>n/a</t>
        </is>
      </c>
      <c r="H22" s="4" t="inlineStr">
        <is>
          <t>Reads normally: 2 rows, 1 account, 0 issues.</t>
        </is>
      </c>
      <c r="I22" s="4" t="inlineStr">
        <is>
          <t>2 rows read; 0 not loaded; 0 merged; 1 accounts, 1 pass; 2 in the final list. Issues: 0 stop, 0 flagged, 0 notes.</t>
        </is>
      </c>
      <c r="J22" s="5" t="inlineStr">
        <is>
          <t>Not run</t>
        </is>
      </c>
      <c r="K22" s="5" t="inlineStr"/>
      <c r="L22" s="5" t="inlineStr"/>
    </row>
    <row r="23">
      <c r="A23" s="4" t="inlineStr">
        <is>
          <t>P22</t>
        </is>
      </c>
      <c r="B23" s="4" t="inlineStr">
        <is>
          <t>1-Prospecting</t>
        </is>
      </c>
      <c r="C23" s="4" t="inlineStr">
        <is>
          <t>P22_commas_quotes_and_accents.xlsx</t>
        </is>
      </c>
      <c r="D23" s="4" t="inlineStr">
        <is>
          <t>Commas, quotes and accents inside values</t>
        </is>
      </c>
      <c r="E23" s="4" t="inlineStr">
        <is>
          <t>Values with commas, quotes and accented names.</t>
        </is>
      </c>
      <c r="F23" s="4" t="inlineStr">
        <is>
          <t>Prospecting: drop P22_commas_quotes_and_accents.xlsx on the upload box.</t>
        </is>
      </c>
      <c r="G23" s="4" t="inlineStr">
        <is>
          <t>n/a</t>
        </is>
      </c>
      <c r="H23" s="4" t="inlineStr">
        <is>
          <t>3 rows, 1 account "Quay Refining, Ltd"; names and titles shown exactly as written.</t>
        </is>
      </c>
      <c r="I23" s="4" t="inlineStr">
        <is>
          <t>3 rows read; 0 not loaded; 0 merged; 1 accounts, 1 pass; 3 in the final list. Issues: 0 stop, 0 flagged, 0 notes.</t>
        </is>
      </c>
      <c r="J23" s="5" t="inlineStr">
        <is>
          <t>Not run</t>
        </is>
      </c>
      <c r="K23" s="5" t="inlineStr"/>
      <c r="L23" s="5" t="inlineStr"/>
    </row>
    <row r="24">
      <c r="A24" s="4" t="inlineStr">
        <is>
          <t>S00</t>
        </is>
      </c>
      <c r="B24" s="4" t="inlineStr">
        <is>
          <t>2-Account-Scoring</t>
        </is>
      </c>
      <c r="C24" s="4" t="inlineStr">
        <is>
          <t>S00_prospect_list_for_scoring_and_signals.xlsx</t>
        </is>
      </c>
      <c r="D24" s="4" t="inlineStr">
        <is>
          <t>The prospect list for every scoring and signal file</t>
        </is>
      </c>
      <c r="E24" s="4" t="inlineStr">
        <is>
          <t>17 accounts, each built to a known fit. Upload it once; every S and G file is scored against it.</t>
        </is>
      </c>
      <c r="F24" s="4" t="inlineStr">
        <is>
          <t>Account Scoring &gt; New scoring &gt; 1 · Prospect list &gt; "Upload a prospect file": drop S00. (Or upload it in Prospecting and save it.)</t>
        </is>
      </c>
      <c r="G24" s="4" t="inlineStr">
        <is>
          <t>n/a</t>
        </is>
      </c>
      <c r="H24" s="4" t="inlineStr">
        <is>
          <t>24 rows, 17 accounts, 16 pass (Tidewater Refining excluded: Australia), 22 contacts in the final list (Rosewood's primary contact opted out); Kingsbridge Fuels flagged for no company size.</t>
        </is>
      </c>
      <c r="I24" s="4" t="inlineStr">
        <is>
          <t>24 rows read; 0 not loaded; 0 merged; 17 accounts, 16 pass; 22 in the final list. Issues: 0 stop, 1 flagged, 1 notes.</t>
        </is>
      </c>
      <c r="J24" s="5" t="inlineStr">
        <is>
          <t>Not run</t>
        </is>
      </c>
      <c r="K24" s="5" t="inlineStr"/>
      <c r="L24" s="5" t="inlineStr"/>
    </row>
    <row r="25">
      <c r="A25" s="4" t="inlineStr">
        <is>
          <t>S01</t>
        </is>
      </c>
      <c r="B25" s="4" t="inlineStr">
        <is>
          <t>2-Account-Scoring</t>
        </is>
      </c>
      <c r="C25" s="4" t="inlineStr">
        <is>
          <t>S01_mixed_signals_all_tiers.xlsx</t>
        </is>
      </c>
      <c r="D25" s="4" t="inlineStr">
        <is>
          <t>Every tier in one run</t>
        </is>
      </c>
      <c r="E25" s="4" t="inlineStr">
        <is>
          <t>A realistic mix: strong, middling and weak signals, an account with none, one below the fit floor and one excluded.</t>
        </is>
      </c>
      <c r="F25" s="4" t="inlineStr">
        <is>
          <t>Account Scoring: with the S00 list chosen, set "Score as of" to 2026-10-20, then drop S01_mixed_signals_all_tiers.xlsx on box 2.</t>
        </is>
      </c>
      <c r="G25" s="4" t="inlineStr">
        <is>
          <t>2026-10-20, 2026-12-20, 2027-04-20</t>
        </is>
      </c>
      <c r="H25" s="4" t="inlineStr">
        <is>
          <t>Tiers A, B and C all appear; Fairhaven and others with no signal are on the watch list; Kingsbridge is below the fit floor; Tidewater excluded.</t>
        </is>
      </c>
      <c r="I25" s="4" t="inlineStr">
        <is>
          <t>2026-10-20: 10 rows: 8 Qualified, 2 Not used. Tiers: A 3, B 3, C 2, Watch list 7, Below fit floor 1, Excluded 1.
2026-12-20: 10 rows: 7 Qualified, 1 Rejected D2, 2 Not used. Tiers: A 2, B 3, C 2, Watch list 8, Below fit floor 1, Excluded 1.
2027-04-20: 10 rows: 8 Rejected D2, 2 Qualified. Tiers: A 1, B 1, Watch list 13, Below fit floor 1, Excluded 1.</t>
        </is>
      </c>
      <c r="J25" s="5" t="inlineStr">
        <is>
          <t>Not run</t>
        </is>
      </c>
      <c r="K25" s="5" t="inlineStr"/>
      <c r="L25" s="5" t="inlineStr"/>
    </row>
    <row r="26">
      <c r="A26" s="4" t="inlineStr">
        <is>
          <t>S02</t>
        </is>
      </c>
      <c r="B26" s="4" t="inlineStr">
        <is>
          <t>2-Account-Scoring</t>
        </is>
      </c>
      <c r="C26" s="4" t="inlineStr">
        <is>
          <t>S02_tier_cut_offs.xlsx</t>
        </is>
      </c>
      <c r="D26" s="4" t="inlineStr">
        <is>
          <t>Tier cut-offs at exactly 35 and 20</t>
        </is>
      </c>
      <c r="E26" s="4" t="inlineStr">
        <is>
          <t>Inquiries aged so the scores land exactly on, and just under, each cut-off (fit 100 accounts).</t>
        </is>
      </c>
      <c r="F26" s="4" t="inlineStr">
        <is>
          <t>Account Scoring: with the S00 list chosen, set "Score as of" to 2026-10-20, then drop S02_tier_cut_offs.xlsx on box 2.</t>
        </is>
      </c>
      <c r="G26" s="4" t="inlineStr">
        <is>
          <t>2026-10-20</t>
        </is>
      </c>
      <c r="H26" s="4" t="inlineStr">
        <is>
          <t>Apex A 50, Bayfront A 35, Coldwater B 34.2, Driftwood B 20, Eastgate C 19.2.</t>
        </is>
      </c>
      <c r="I26" s="4" t="inlineStr">
        <is>
          <t>2026-10-20: 5 rows: 5 Qualified. Tiers: A 2, B 2, C 1, Watch list 10, Below fit floor 1, Excluded 1.</t>
        </is>
      </c>
      <c r="J26" s="5" t="inlineStr">
        <is>
          <t>Not run</t>
        </is>
      </c>
      <c r="K26" s="5" t="inlineStr"/>
      <c r="L26" s="5" t="inlineStr"/>
    </row>
    <row r="27">
      <c r="A27" s="4" t="inlineStr">
        <is>
          <t>S03</t>
        </is>
      </c>
      <c r="B27" s="4" t="inlineStr">
        <is>
          <t>2-Account-Scoring</t>
        </is>
      </c>
      <c r="C27" s="4" t="inlineStr">
        <is>
          <t>S03_same_signal_every_account_fit_effect.xlsx</t>
        </is>
      </c>
      <c r="D27" s="4" t="inlineStr">
        <is>
          <t>Same signal, different fit</t>
        </is>
      </c>
      <c r="E27" s="4" t="inlineStr">
        <is>
          <t>Every account gets the same fresh inquiry, so differences in score come only from fit.</t>
        </is>
      </c>
      <c r="F27" s="4" t="inlineStr">
        <is>
          <t>Account Scoring: with the S00 list chosen, set "Score as of" to 2026-10-20, then drop S03_same_signal_every_account_fit_effect.xlsx on box 2.</t>
        </is>
      </c>
      <c r="G27" s="4" t="inlineStr">
        <is>
          <t>2026-10-20</t>
        </is>
      </c>
      <c r="H27" s="4" t="inlineStr">
        <is>
          <t>Score = fit / 2 for each: Apex 50, Quarry Hill 48, Larkspur 48.5, Moorland 47, Pebblebrook 42.5, Newhaven 37.5, Oakridge 30, Juniper 25; Kingsbridge below the fit floor.</t>
        </is>
      </c>
      <c r="I27" s="4" t="inlineStr">
        <is>
          <t>2026-10-20: 9 rows: 8 Qualified, 1 Not used. Tiers: A 6, B 2, Watch list 7, Below fit floor 1, Excluded 1.</t>
        </is>
      </c>
      <c r="J27" s="5" t="inlineStr">
        <is>
          <t>Not run</t>
        </is>
      </c>
      <c r="K27" s="5" t="inlineStr"/>
      <c r="L27" s="5" t="inlineStr"/>
    </row>
    <row r="28">
      <c r="A28" s="4" t="inlineStr">
        <is>
          <t>S04</t>
        </is>
      </c>
      <c r="B28" s="4" t="inlineStr">
        <is>
          <t>2-Account-Scoring</t>
        </is>
      </c>
      <c r="C28" s="4" t="inlineStr">
        <is>
          <t>S04_stacking_several_signals.xlsx</t>
        </is>
      </c>
      <c r="D28" s="4" t="inlineStr">
        <is>
          <t>Several signals on one account</t>
        </is>
      </c>
      <c r="E28" s="4" t="inlineStr">
        <is>
          <t>How signals add up: one person with several, two people, the same type twice on different dates.</t>
        </is>
      </c>
      <c r="F28" s="4" t="inlineStr">
        <is>
          <t>Account Scoring: with the S00 list chosen, set "Score as of" to 2026-10-20, then drop S04_stacking_several_signals.xlsx on box 2.</t>
        </is>
      </c>
      <c r="G28" s="4" t="inlineStr">
        <is>
          <t>2026-10-20</t>
        </is>
      </c>
      <c r="H28" s="4" t="inlineStr">
        <is>
          <t>Apex 68.8 (A), Bayfront 65 (A), Coldwater two webinars stacked.</t>
        </is>
      </c>
      <c r="I28" s="4" t="inlineStr">
        <is>
          <t>2026-10-20: 7 rows: 7 Qualified. Tiers: A 3, Watch list 12, Below fit floor 1, Excluded 1.</t>
        </is>
      </c>
      <c r="J28" s="5" t="inlineStr">
        <is>
          <t>Not run</t>
        </is>
      </c>
      <c r="K28" s="5" t="inlineStr"/>
      <c r="L28" s="5" t="inlineStr"/>
    </row>
    <row r="29">
      <c r="A29" s="4" t="inlineStr">
        <is>
          <t>S05</t>
        </is>
      </c>
      <c r="B29" s="4" t="inlineStr">
        <is>
          <t>2-Account-Scoring</t>
        </is>
      </c>
      <c r="C29" s="4" t="inlineStr">
        <is>
          <t>S05_knock_out_installed_system.xlsx</t>
        </is>
      </c>
      <c r="D29" s="4" t="inlineStr">
        <is>
          <t>Knock-out: pilot product already installed</t>
        </is>
      </c>
      <c r="E29" s="4" t="inlineStr">
        <is>
          <t>The "Installed system (current)" type excludes the account whatever else it has.</t>
        </is>
      </c>
      <c r="F29" s="4" t="inlineStr">
        <is>
          <t>Account Scoring: with the S00 list chosen, set "Score as of" to 2026-10-20, then drop S05_knock_out_installed_system.xlsx on box 2.</t>
        </is>
      </c>
      <c r="G29" s="4" t="inlineStr">
        <is>
          <t>2026-10-20</t>
        </is>
      </c>
      <c r="H29" s="4" t="inlineStr">
        <is>
          <t>Stonegate Refining and Quarry Hill Engineering excluded; Apex scored normally (tier A).</t>
        </is>
      </c>
      <c r="I29" s="4" t="inlineStr">
        <is>
          <t>2026-10-20: 4 rows: 2 Used for a knock-out, 1 Not used, 1 Qualified. Tiers: A 1, Watch list 12, Below fit floor 1, Excluded 3.</t>
        </is>
      </c>
      <c r="J29" s="5" t="inlineStr">
        <is>
          <t>Not run</t>
        </is>
      </c>
      <c r="K29" s="5" t="inlineStr"/>
      <c r="L29" s="5" t="inlineStr"/>
    </row>
    <row r="30">
      <c r="A30" s="4" t="inlineStr">
        <is>
          <t>S06</t>
        </is>
      </c>
      <c r="B30" s="4" t="inlineStr">
        <is>
          <t>2-Account-Scoring</t>
        </is>
      </c>
      <c r="C30" s="4" t="inlineStr">
        <is>
          <t>S06_headers_only_no_signals.xlsx</t>
        </is>
      </c>
      <c r="D30" s="4" t="inlineStr">
        <is>
          <t>No signals at all</t>
        </is>
      </c>
      <c r="E30" s="4" t="inlineStr">
        <is>
          <t>A signal file with headers and no rows.</t>
        </is>
      </c>
      <c r="F30" s="4" t="inlineStr">
        <is>
          <t>Account Scoring: with the S00 list chosen, set "Score as of" to 2026-10-20, then drop S06_headers_only_no_signals.xlsx on box 2.</t>
        </is>
      </c>
      <c r="G30" s="4" t="inlineStr">
        <is>
          <t>2026-10-20</t>
        </is>
      </c>
      <c r="H30" s="4" t="inlineStr">
        <is>
          <t>Every passing account is on the watch list; no error.</t>
        </is>
      </c>
      <c r="I30" s="4" t="inlineStr">
        <is>
          <t>2026-10-20: 0 rows: . Tiers: Watch list 15, Below fit floor 1, Excluded 1.</t>
        </is>
      </c>
      <c r="J30" s="5" t="inlineStr">
        <is>
          <t>Not run</t>
        </is>
      </c>
      <c r="K30" s="5" t="inlineStr"/>
      <c r="L30" s="5" t="inlineStr"/>
    </row>
    <row r="31">
      <c r="A31" s="4" t="inlineStr">
        <is>
          <t>S07</t>
        </is>
      </c>
      <c r="B31" s="4" t="inlineStr">
        <is>
          <t>2-Account-Scoring</t>
        </is>
      </c>
      <c r="C31" s="4" t="inlineStr">
        <is>
          <t>S07_opted_out_person_signal.xlsx</t>
        </is>
      </c>
      <c r="D31" s="4" t="inlineStr">
        <is>
          <t>Signal from a person who opted out (known gap)</t>
        </is>
      </c>
      <c r="E31" s="4" t="inlineStr">
        <is>
          <t>Rosewood Refining: the only signal is from the primary contact, who opted out.</t>
        </is>
      </c>
      <c r="F31" s="4" t="inlineStr">
        <is>
          <t>Account Scoring: with the S00 list chosen, set "Score as of" to 2026-10-20, then drop S07_opted_out_person_signal.xlsx on box 2.</t>
        </is>
      </c>
      <c r="G31" s="4" t="inlineStr">
        <is>
          <t>2026-10-20</t>
        </is>
      </c>
      <c r="H31" s="4" t="inlineStr">
        <is>
          <t>SHOULD: the opted-out person's inquiry is not used, so Rosewood is on the watch list. TODAY: it counts (tier A) and Rosewood then gets no recommendation in Micro-segments. Log as a gap.</t>
        </is>
      </c>
      <c r="I31" s="4" t="inlineStr">
        <is>
          <t>2026-10-20: 2 rows: 2 Qualified. Tiers: A 2, Watch list 13, Below fit floor 1, Excluded 1.</t>
        </is>
      </c>
      <c r="J31" s="5" t="inlineStr">
        <is>
          <t>Not run</t>
        </is>
      </c>
      <c r="K31" s="5" t="inlineStr"/>
      <c r="L31" s="5" t="inlineStr"/>
    </row>
    <row r="32">
      <c r="A32" s="4" t="inlineStr">
        <is>
          <t>G01</t>
        </is>
      </c>
      <c r="B32" s="4" t="inlineStr">
        <is>
          <t>3-Signal-rules</t>
        </is>
      </c>
      <c r="C32" s="4" t="inlineStr">
        <is>
          <t>G01_every_signal_type.xlsx</t>
        </is>
      </c>
      <c r="D32" s="4" t="inlineStr">
        <is>
          <t>Every signal type</t>
        </is>
      </c>
      <c r="E32" s="4" t="inlineStr">
        <is>
          <t>One fresh row of each type the template allows, plus "Newsletter sign-up", which is never scored. Also used for the Setup switch-off test.</t>
        </is>
      </c>
      <c r="F32" s="4" t="inlineStr">
        <is>
          <t>Account Scoring: with the S00 list chosen, set "Score as of" to 2026-10-20, then drop G01_every_signal_type.xlsx on box 2.</t>
        </is>
      </c>
      <c r="G32" s="4" t="inlineStr">
        <is>
          <t>2026-10-20</t>
        </is>
      </c>
      <c r="H32" s="4" t="inlineStr">
        <is>
          <t>9 qualified with their codes (Y2, Y1, Y1, Y4, C1c, C1w, C1w, C1w, C1x); the newsletter row rejected D1. Setup test: switch off "Content download", score again: that row is rejected OFF.</t>
        </is>
      </c>
      <c r="I32" s="4" t="inlineStr">
        <is>
          <t>2026-10-20: 10 rows: 9 Qualified, 1 Rejected D1. Tiers: A 1, Watch list 14, Below fit floor 1, Excluded 1.</t>
        </is>
      </c>
      <c r="J32" s="5" t="inlineStr">
        <is>
          <t>Not run</t>
        </is>
      </c>
      <c r="K32" s="5" t="inlineStr"/>
      <c r="L32" s="5" t="inlineStr"/>
    </row>
    <row r="33">
      <c r="A33" s="4" t="inlineStr">
        <is>
          <t>G02</t>
        </is>
      </c>
      <c r="B33" s="4" t="inlineStr">
        <is>
          <t>3-Signal-rules</t>
        </is>
      </c>
      <c r="C33" s="4" t="inlineStr">
        <is>
          <t>G02_company_matching.xlsx</t>
        </is>
      </c>
      <c r="D33" s="4" t="inlineStr">
        <is>
          <t>Matching the company</t>
        </is>
      </c>
      <c r="E33" s="4" t="inlineStr">
        <is>
          <t>How the company name in the signal file is matched to the list.</t>
        </is>
      </c>
      <c r="F33" s="4" t="inlineStr">
        <is>
          <t>Account Scoring: with the S00 list chosen, set "Score as of" to 2026-10-20, then drop G02_company_matching.xlsx on box 2.</t>
        </is>
      </c>
      <c r="G33" s="4" t="inlineStr">
        <is>
          <t>2026-10-20</t>
        </is>
      </c>
      <c r="H33" s="4" t="inlineStr">
        <is>
          <t>3 rows match Apex; "Ltd" and the unknown company are D4; the blank company is D3; Tidewater is not used.</t>
        </is>
      </c>
      <c r="I33" s="4" t="inlineStr">
        <is>
          <t>2026-10-20: 7 rows: 3 Qualified, 2 Rejected D4, 1 Rejected D3, 1 Not used. Tiers: A 1, Watch list 14, Below fit floor 1, Excluded 1.</t>
        </is>
      </c>
      <c r="J33" s="5" t="inlineStr">
        <is>
          <t>Not run</t>
        </is>
      </c>
      <c r="K33" s="5" t="inlineStr"/>
      <c r="L33" s="5" t="inlineStr"/>
    </row>
    <row r="34">
      <c r="A34" s="4" t="inlineStr">
        <is>
          <t>G03</t>
        </is>
      </c>
      <c r="B34" s="4" t="inlineStr">
        <is>
          <t>3-Signal-rules</t>
        </is>
      </c>
      <c r="C34" s="4" t="inlineStr">
        <is>
          <t>G03_person_matching.xlsx</t>
        </is>
      </c>
      <c r="D34" s="4" t="inlineStr">
        <is>
          <t>Matching the person</t>
        </is>
      </c>
      <c r="E34" s="4" t="inlineStr">
        <is>
          <t>How the person column is matched: email, LinkedIn URL, unknown, or left blank.</t>
        </is>
      </c>
      <c r="F34" s="4" t="inlineStr">
        <is>
          <t>Account Scoring: with the S00 list chosen, set "Score as of" to 2026-10-20, then drop G03_person_matching.xlsx on box 2.</t>
        </is>
      </c>
      <c r="G34" s="4" t="inlineStr">
        <is>
          <t>2026-10-20</t>
        </is>
      </c>
      <c r="H34" s="4" t="inlineStr">
        <is>
          <t>4 rows match Kai Ong; one suggested new contact; three auto-assigned rows.</t>
        </is>
      </c>
      <c r="I34" s="4" t="inlineStr">
        <is>
          <t>2026-10-20: 8 rows: 7 Qualified, 1 Rejected D4. Tiers: A 4, Watch list 11, Below fit floor 1, Excluded 1.</t>
        </is>
      </c>
      <c r="J34" s="5" t="inlineStr">
        <is>
          <t>Not run</t>
        </is>
      </c>
      <c r="K34" s="5" t="inlineStr"/>
      <c r="L34" s="5" t="inlineStr"/>
    </row>
    <row r="35">
      <c r="A35" s="4" t="inlineStr">
        <is>
          <t>G04</t>
        </is>
      </c>
      <c r="B35" s="4" t="inlineStr">
        <is>
          <t>3-Signal-rules</t>
        </is>
      </c>
      <c r="C35" s="4" t="inlineStr">
        <is>
          <t>G04_dates.xlsx</t>
        </is>
      </c>
      <c r="D35" s="4" t="inlineStr">
        <is>
          <t>Event dates</t>
        </is>
      </c>
      <c r="E35" s="4" t="inlineStr">
        <is>
          <t>Dates in the wrong form, missing, in the future, and on the scoring date (2026-10-20).</t>
        </is>
      </c>
      <c r="F35" s="4" t="inlineStr">
        <is>
          <t>Account Scoring: with the S00 list chosen, set "Score as of" to 2026-10-20, then drop G04_dates.xlsx on box 2.</t>
        </is>
      </c>
      <c r="G35" s="4" t="inlineStr">
        <is>
          <t>2026-10-20</t>
        </is>
      </c>
      <c r="H35" s="4" t="inlineStr">
        <is>
          <t>2 qualified; 6 rejected D3 with the reason. (The dates are typed as text, as they arrive from a CSV export; G13 has real Excel dates.)</t>
        </is>
      </c>
      <c r="I35" s="4" t="inlineStr">
        <is>
          <t>2026-10-20: 8 rows: 2 Qualified, 6 Rejected D3. Tiers: A 1, Watch list 14, Below fit floor 1, Excluded 1.</t>
        </is>
      </c>
      <c r="J35" s="5" t="inlineStr">
        <is>
          <t>Not run</t>
        </is>
      </c>
      <c r="K35" s="5" t="inlineStr"/>
      <c r="L35" s="5" t="inlineStr"/>
    </row>
    <row r="36">
      <c r="A36" s="4" t="inlineStr">
        <is>
          <t>G05</t>
        </is>
      </c>
      <c r="B36" s="4" t="inlineStr">
        <is>
          <t>3-Signal-rules</t>
        </is>
      </c>
      <c r="C36" s="4" t="inlineStr">
        <is>
          <t>G05_signal_type_spelling.xlsx</t>
        </is>
      </c>
      <c r="D36" s="4" t="inlineStr">
        <is>
          <t>Signal type spelling</t>
        </is>
      </c>
      <c r="E36" s="4" t="inlineStr">
        <is>
          <t>Types written in other cases, misspelt, blank or not on the list.</t>
        </is>
      </c>
      <c r="F36" s="4" t="inlineStr">
        <is>
          <t>Account Scoring: with the S00 list chosen, set "Score as of" to 2026-10-20, then drop G05_signal_type_spelling.xlsx on box 2.</t>
        </is>
      </c>
      <c r="G36" s="4" t="inlineStr">
        <is>
          <t>2026-10-20</t>
        </is>
      </c>
      <c r="H36" s="4" t="inlineStr">
        <is>
          <t>2 accepted, 4 rejected D3.</t>
        </is>
      </c>
      <c r="I36" s="4" t="inlineStr">
        <is>
          <t>2026-10-20: 6 rows: 2 Qualified, 4 Rejected D3. Tiers: A 1, Watch list 14, Below fit floor 1, Excluded 1.</t>
        </is>
      </c>
      <c r="J36" s="5" t="inlineStr">
        <is>
          <t>Not run</t>
        </is>
      </c>
      <c r="K36" s="5" t="inlineStr"/>
      <c r="L36" s="5" t="inlineStr"/>
    </row>
    <row r="37">
      <c r="A37" s="4" t="inlineStr">
        <is>
          <t>G06</t>
        </is>
      </c>
      <c r="B37" s="4" t="inlineStr">
        <is>
          <t>3-Signal-rules</t>
        </is>
      </c>
      <c r="C37" s="4" t="inlineStr">
        <is>
          <t>G06_duplicates.xlsx</t>
        </is>
      </c>
      <c r="D37" s="4" t="inlineStr">
        <is>
          <t>Duplicate signals</t>
        </is>
      </c>
      <c r="E37" s="4" t="inlineStr">
        <is>
          <t>The same event twice, and near-duplicates that are separate events.</t>
        </is>
      </c>
      <c r="F37" s="4" t="inlineStr">
        <is>
          <t>Account Scoring: with the S00 list chosen, set "Score as of" to 2026-10-20, then drop G06_duplicates.xlsx on box 2.</t>
        </is>
      </c>
      <c r="G37" s="4" t="inlineStr">
        <is>
          <t>2026-10-20</t>
        </is>
      </c>
      <c r="H37" s="4" t="inlineStr">
        <is>
          <t>3 rejected D5; 4 qualified.</t>
        </is>
      </c>
      <c r="I37" s="4" t="inlineStr">
        <is>
          <t>2026-10-20: 7 rows: 4 Qualified, 3 Rejected D5. Tiers: A 1, B 1, Watch list 13, Below fit floor 1, Excluded 1.</t>
        </is>
      </c>
      <c r="J37" s="5" t="inlineStr">
        <is>
          <t>Not run</t>
        </is>
      </c>
      <c r="K37" s="5" t="inlineStr"/>
      <c r="L37" s="5" t="inlineStr"/>
    </row>
    <row r="38">
      <c r="A38" s="4" t="inlineStr">
        <is>
          <t>G07</t>
        </is>
      </c>
      <c r="B38" s="4" t="inlineStr">
        <is>
          <t>3-Signal-rules</t>
        </is>
      </c>
      <c r="C38" s="4" t="inlineStr">
        <is>
          <t>G07_stale_window_edges.xlsx</t>
        </is>
      </c>
      <c r="D38" s="4" t="inlineStr">
        <is>
          <t>How long each signal counts</t>
        </is>
      </c>
      <c r="E38" s="4" t="inlineStr">
        <is>
          <t>For each type, one row on the last day it still counts and one on the day it stops.</t>
        </is>
      </c>
      <c r="F38" s="4" t="inlineStr">
        <is>
          <t>Account Scoring: with the S00 list chosen, set "Score as of" to 2026-10-20, then drop G07_stale_window_edges.xlsx on box 2.</t>
        </is>
      </c>
      <c r="G38" s="4" t="inlineStr">
        <is>
          <t>2026-10-20</t>
        </is>
      </c>
      <c r="H38" s="4" t="inlineStr">
        <is>
          <t>9 qualified (small weights) on Apex; 9 rejected D2 on Bayfront.</t>
        </is>
      </c>
      <c r="I38" s="4" t="inlineStr">
        <is>
          <t>2026-10-20: 18 rows: 9 Qualified, 9 Rejected D2. Tiers: C 1, Watch list 14, Below fit floor 1, Excluded 1.</t>
        </is>
      </c>
      <c r="J38" s="5" t="inlineStr">
        <is>
          <t>Not run</t>
        </is>
      </c>
      <c r="K38" s="5" t="inlineStr"/>
      <c r="L38" s="5" t="inlineStr"/>
    </row>
    <row r="39">
      <c r="A39" s="4" t="inlineStr">
        <is>
          <t>G08</t>
        </is>
      </c>
      <c r="B39" s="4" t="inlineStr">
        <is>
          <t>3-Signal-rules</t>
        </is>
      </c>
      <c r="C39" s="4" t="inlineStr">
        <is>
          <t>G08_fading_weights.xlsx</t>
        </is>
      </c>
      <c r="D39" s="4" t="inlineStr">
        <is>
          <t>How weights fade</t>
        </is>
      </c>
      <c r="E39" s="4" t="inlineStr">
        <is>
          <t>Three types at full weight, the first day they fade, and halfway through.</t>
        </is>
      </c>
      <c r="F39" s="4" t="inlineStr">
        <is>
          <t>Account Scoring: with the S00 list chosen, set "Score as of" to 2026-10-20, then drop G08_fading_weights.xlsx on box 2.</t>
        </is>
      </c>
      <c r="G39" s="4" t="inlineStr">
        <is>
          <t>2026-10-20</t>
        </is>
      </c>
      <c r="H39" s="4" t="inlineStr">
        <is>
          <t>Each row's weight as in the answer key: full up to the "full" day, then falling in a straight line to 0.</t>
        </is>
      </c>
      <c r="I39" s="4" t="inlineStr">
        <is>
          <t>2026-10-20: 9 rows: 9 Qualified. Tiers: A 1, Watch list 14, Below fit floor 1, Excluded 1.</t>
        </is>
      </c>
      <c r="J39" s="5" t="inlineStr">
        <is>
          <t>Not run</t>
        </is>
      </c>
      <c r="K39" s="5" t="inlineStr"/>
      <c r="L39" s="5" t="inlineStr"/>
    </row>
    <row r="40">
      <c r="A40" s="4" t="inlineStr">
        <is>
          <t>G09</t>
        </is>
      </c>
      <c r="B40" s="4" t="inlineStr">
        <is>
          <t>3-Signal-rules</t>
        </is>
      </c>
      <c r="C40" s="4" t="inlineStr">
        <is>
          <t>G09_missing_detail_and_optional_columns.xlsx</t>
        </is>
      </c>
      <c r="D40" s="4" t="inlineStr">
        <is>
          <t>Blank detail, source and product</t>
        </is>
      </c>
      <c r="E40" s="4" t="inlineStr">
        <is>
          <t>Only company, type and date really matter.</t>
        </is>
      </c>
      <c r="F40" s="4" t="inlineStr">
        <is>
          <t>Account Scoring: with the S00 list chosen, set "Score as of" to 2026-10-20, then drop G09_missing_detail_and_optional_columns.xlsx on box 2.</t>
        </is>
      </c>
      <c r="G40" s="4" t="inlineStr">
        <is>
          <t>2026-10-20</t>
        </is>
      </c>
      <c r="H40" s="4" t="inlineStr">
        <is>
          <t>Both qualified; a "No detail" note on row 2.</t>
        </is>
      </c>
      <c r="I40" s="4" t="inlineStr">
        <is>
          <t>2026-10-20: 2 rows: 2 Qualified. Tiers: A 1, B 1, Watch list 13, Below fit floor 1, Excluded 1.</t>
        </is>
      </c>
      <c r="J40" s="5" t="inlineStr">
        <is>
          <t>Not run</t>
        </is>
      </c>
      <c r="K40" s="5" t="inlineStr"/>
      <c r="L40" s="5" t="inlineStr"/>
    </row>
    <row r="41">
      <c r="A41" s="4" t="inlineStr">
        <is>
          <t>G10</t>
        </is>
      </c>
      <c r="B41" s="4" t="inlineStr">
        <is>
          <t>3-Signal-rules</t>
        </is>
      </c>
      <c r="C41" s="4" t="inlineStr">
        <is>
          <t>G10_missing_detail_column_and_extra_columns.xlsx</t>
        </is>
      </c>
      <c r="D41" s="4" t="inlineStr">
        <is>
          <t>A missing column and extra columns</t>
        </is>
      </c>
      <c r="E41" s="4" t="inlineStr">
        <is>
          <t>No "detail" column; two columns that are not in the template; columns in another order.</t>
        </is>
      </c>
      <c r="F41" s="4" t="inlineStr">
        <is>
          <t>Account Scoring: with the S00 list chosen, set "Score as of" to 2026-10-20, then drop G10_missing_detail_column_and_extra_columns.xlsx on box 2.</t>
        </is>
      </c>
      <c r="G41" s="4" t="inlineStr">
        <is>
          <t>2026-10-20</t>
        </is>
      </c>
      <c r="H41" s="4" t="inlineStr">
        <is>
          <t>"Required column detail is missing" flag; the extra columns are ignored with a note; both rows qualify.</t>
        </is>
      </c>
      <c r="I41" s="4" t="inlineStr">
        <is>
          <t>2026-10-20: 2 rows: 2 Qualified. Tiers: A 1, B 1, Watch list 13, Below fit floor 1, Excluded 1.</t>
        </is>
      </c>
      <c r="J41" s="5" t="inlineStr">
        <is>
          <t>Not run</t>
        </is>
      </c>
      <c r="K41" s="5" t="inlineStr"/>
      <c r="L41" s="5" t="inlineStr"/>
    </row>
    <row r="42">
      <c r="A42" s="4" t="inlineStr">
        <is>
          <t>G11</t>
        </is>
      </c>
      <c r="B42" s="4" t="inlineStr">
        <is>
          <t>3-Signal-rules</t>
        </is>
      </c>
      <c r="C42" s="4" t="inlineStr">
        <is>
          <t>G11_no_signal_type_column.xlsx</t>
        </is>
      </c>
      <c r="D42" s="4" t="inlineStr">
        <is>
          <t>No signal_type column</t>
        </is>
      </c>
      <c r="E42" s="4" t="inlineStr">
        <is>
          <t>Without signal_type the file cannot be read.</t>
        </is>
      </c>
      <c r="F42" s="4" t="inlineStr">
        <is>
          <t>Account Scoring: with the S00 list chosen, set "Score as of" to 2026-10-20, then drop G11_no_signal_type_column.xlsx on box 2.</t>
        </is>
      </c>
      <c r="G42" s="4" t="inlineStr">
        <is>
          <t>2026-10-20</t>
        </is>
      </c>
      <c r="H42" s="4" t="inlineStr">
        <is>
          <t>File not processed: header row not found. Nothing is scored.</t>
        </is>
      </c>
      <c r="I42" s="4" t="inlineStr">
        <is>
          <t>2026-10-20: file not processed: Couldn't find the header row (looked for a row containing "signal_type")</t>
        </is>
      </c>
      <c r="J42" s="5" t="inlineStr">
        <is>
          <t>Not run</t>
        </is>
      </c>
      <c r="K42" s="5" t="inlineStr"/>
      <c r="L42" s="5" t="inlineStr"/>
    </row>
    <row r="43">
      <c r="A43" s="4" t="inlineStr">
        <is>
          <t>G12</t>
        </is>
      </c>
      <c r="B43" s="4" t="inlineStr">
        <is>
          <t>3-Signal-rules</t>
        </is>
      </c>
      <c r="C43" s="4" t="inlineStr">
        <is>
          <t>G12_wrong_file_lead_file.xlsx</t>
        </is>
      </c>
      <c r="D43" s="4" t="inlineStr">
        <is>
          <t>Wrong file: a lead file dropped into the signal box</t>
        </is>
      </c>
      <c r="E43" s="4" t="inlineStr">
        <is>
          <t>Someone uploads the wrong template.</t>
        </is>
      </c>
      <c r="F43" s="4" t="inlineStr">
        <is>
          <t>Account Scoring: with the S00 list chosen, drop G12_wrong_file_lead_file.xlsx on box 2.</t>
        </is>
      </c>
      <c r="G43" s="4" t="inlineStr">
        <is>
          <t>2026-10-20</t>
        </is>
      </c>
      <c r="H43" s="4" t="inlineStr">
        <is>
          <t>File not processed: the signal header row is not found. Nothing is scored, with a message saying why.</t>
        </is>
      </c>
      <c r="I43" s="4" t="inlineStr">
        <is>
          <t>2026-10-20: file not processed: Couldn't find the header row (looked for a row containing "signal_type")</t>
        </is>
      </c>
      <c r="J43" s="5" t="inlineStr">
        <is>
          <t>Not run</t>
        </is>
      </c>
      <c r="K43" s="5" t="inlineStr"/>
      <c r="L43" s="5" t="inlineStr"/>
    </row>
    <row r="44">
      <c r="A44" s="4" t="inlineStr">
        <is>
          <t>G13</t>
        </is>
      </c>
      <c r="B44" s="4" t="inlineStr">
        <is>
          <t>3-Signal-rules</t>
        </is>
      </c>
      <c r="C44" s="4" t="inlineStr">
        <is>
          <t>G13_excel_with_several_sheets.xlsx</t>
        </is>
      </c>
      <c r="D44" s="4" t="inlineStr">
        <is>
          <t>Excel workbook with several sheets</t>
        </is>
      </c>
      <c r="E44" s="4" t="inlineStr">
        <is>
          <t>The POC must pick the "Signal template" sheet, and read Excel dates.</t>
        </is>
      </c>
      <c r="F44" s="4" t="inlineStr">
        <is>
          <t>Account Scoring: with the S00 list chosen, drop G13_excel_with_several_sheets.xlsx on box 2.</t>
        </is>
      </c>
      <c r="G44" s="4" t="inlineStr">
        <is>
          <t>2026-10-20</t>
        </is>
      </c>
      <c r="H44" s="4" t="inlineStr">
        <is>
          <t>Reads "Signal template": 2 rows, both qualified (Excel dates read correctly).</t>
        </is>
      </c>
      <c r="I44" s="4" t="inlineStr">
        <is>
          <t>2026-10-20: 2 rows: 2 Qualified. Tiers: A 1, B 1, Watch list 13, Below fit floor 1, Excluded 1.</t>
        </is>
      </c>
      <c r="J44" s="5" t="inlineStr">
        <is>
          <t>Not run</t>
        </is>
      </c>
      <c r="K44" s="5" t="inlineStr"/>
      <c r="L44" s="5" t="inlineStr"/>
    </row>
    <row r="45">
      <c r="A45" s="4" t="inlineStr">
        <is>
          <t>G14</t>
        </is>
      </c>
      <c r="B45" s="4" t="inlineStr">
        <is>
          <t>3-Signal-rules</t>
        </is>
      </c>
      <c r="C45" s="4" t="inlineStr">
        <is>
          <t>G14_signals_for_excluded_and_below_floor_accounts.xlsx</t>
        </is>
      </c>
      <c r="D45" s="4" t="inlineStr">
        <is>
          <t>Signals for accounts that are not scored</t>
        </is>
      </c>
      <c r="E45" s="4" t="inlineStr">
        <is>
          <t>Excluded and below-floor accounts keep their signals out of scoring.</t>
        </is>
      </c>
      <c r="F45" s="4" t="inlineStr">
        <is>
          <t>Account Scoring: with the S00 list chosen, set "Score as of" to 2026-10-20, then drop G14_signals_for_excluded_and_below_floor_accounts.xlsx on box 2.</t>
        </is>
      </c>
      <c r="G45" s="4" t="inlineStr">
        <is>
          <t>2026-10-20</t>
        </is>
      </c>
      <c r="H45" s="4" t="inlineStr">
        <is>
          <t>Rows 2 and 3 show "Not used" with the reason; row 4 qualified.</t>
        </is>
      </c>
      <c r="I45" s="4" t="inlineStr">
        <is>
          <t>2026-10-20: 3 rows: 2 Not used, 1 Qualified. Tiers: A 1, Watch list 14, Below fit floor 1, Excluded 1.</t>
        </is>
      </c>
      <c r="J45" s="5" t="inlineStr">
        <is>
          <t>Not run</t>
        </is>
      </c>
      <c r="K45" s="5" t="inlineStr"/>
      <c r="L45" s="5" t="inlineStr"/>
    </row>
    <row r="46">
      <c r="A46" s="4" t="inlineStr">
        <is>
          <t>N01</t>
        </is>
      </c>
      <c r="B46" s="4" t="inlineStr">
        <is>
          <t>4-Micro-segments-and-Review</t>
        </is>
      </c>
      <c r="C46" s="4" t="inlineStr">
        <is>
          <t>N01_segment_boundaries.xlsx</t>
        </is>
      </c>
      <c r="D46" s="4" t="inlineStr">
        <is>
          <t>Micro-segment boundaries</t>
        </is>
      </c>
      <c r="E46" s="4" t="inlineStr">
        <is>
          <t>Which micro-segments form and which accounts become exceptions: exactly 3 accounts, 2 accounts, falling back to a next signal, a segment that would only form on second-best signals, Leadership and Service renewal segments, two people with signals at one account.</t>
        </is>
      </c>
      <c r="F46" s="4" t="inlineStr">
        <is>
          <t>Account Scoring: "Upload a prospect file" = N01_segment_boundaries.xlsx (reads its "Lead template" sheet); Score as of 2026-10-20; drop the same file on box 2 (reads "Signal template"). Then send to Micro-segments &amp; NBA and open For Review.</t>
        </is>
      </c>
      <c r="G46" s="4" t="inlineStr">
        <is>
          <t>2026-10-20</t>
        </is>
      </c>
      <c r="H46" s="4" t="inlineStr">
        <is>
          <t>As in TS6 (answer key in ../poc-test-sets).</t>
        </is>
      </c>
      <c r="I46" s="4" t="inlineStr">
        <is>
          <t>Tiers: A 7, B 4, C 3, Watch list 1. Segments: Inquiry 3, Service renewal 4, Leadership 3; 4 exception(s).</t>
        </is>
      </c>
      <c r="J46" s="5" t="inlineStr">
        <is>
          <t>Not run</t>
        </is>
      </c>
      <c r="K46" s="5" t="inlineStr"/>
      <c r="L46" s="5" t="inlineStr"/>
    </row>
    <row r="47">
      <c r="A47" s="4" t="inlineStr">
        <is>
          <t>N02</t>
        </is>
      </c>
      <c r="B47" s="4" t="inlineStr">
        <is>
          <t>4-Micro-segments-and-Review</t>
        </is>
      </c>
      <c r="C47" s="4" t="inlineStr">
        <is>
          <t>N02_contact_and_channel.xlsx</t>
        </is>
      </c>
      <c r="D47" s="4" t="inlineStr">
        <is>
          <t>Contactability and channel</t>
        </is>
      </c>
      <c r="E47" s="4" t="inlineStr">
        <is>
          <t>Which channel the draft uses and when nobody can be reached: email and LinkedIn, one of them, neither, no or unknown consent, opt-out not confirmed, and a primary contact who opted out.</t>
        </is>
      </c>
      <c r="F47" s="4" t="inlineStr">
        <is>
          <t>Account Scoring: "Upload a prospect file" = N02_contact_and_channel.xlsx (reads its "Lead template" sheet); Score as of 2026-10-20; drop the same file on box 2 (reads "Signal template"). Then send to Micro-segments &amp; NBA and open For Review.</t>
        </is>
      </c>
      <c r="G47" s="4" t="inlineStr">
        <is>
          <t>2026-10-20</t>
        </is>
      </c>
      <c r="H47" s="4" t="inlineStr">
        <is>
          <t>As in TS8 (answer key in ../poc-test-sets).</t>
        </is>
      </c>
      <c r="I47" s="4" t="inlineStr">
        <is>
          <t>Tiers: B 10. Segments: Engagement 9; 0 exception(s).</t>
        </is>
      </c>
      <c r="J47" s="5" t="inlineStr">
        <is>
          <t>Not run</t>
        </is>
      </c>
      <c r="K47" s="5" t="inlineStr"/>
      <c r="L47" s="5" t="inlineStr"/>
    </row>
    <row r="48">
      <c r="A48" s="4" t="inlineStr">
        <is>
          <t>N03</t>
        </is>
      </c>
      <c r="B48" s="4" t="inlineStr">
        <is>
          <t>4-Micro-segments-and-Review</t>
        </is>
      </c>
      <c r="C48" s="4" t="inlineStr">
        <is>
          <t>N03_for_review_reasons.xlsx</t>
        </is>
      </c>
      <c r="D48" s="4" t="inlineStr">
        <is>
          <t>For Review routing</t>
        </is>
      </c>
      <c r="E48" s="4" t="inlineStr">
        <is>
          <t>One reason per account for an item to need a person, plus clean items that go ahead on their own: deal size, low confidence, sensitive content, an unverifiable claim, a brand rule, no way to reach them, segment too small, and an inquiry due the same day.</t>
        </is>
      </c>
      <c r="F48" s="4" t="inlineStr">
        <is>
          <t>Account Scoring: "Upload a prospect file" = N03_for_review_reasons.xlsx (reads its "Lead template" sheet); Score as of 2026-10-20; drop the same file on box 2 (reads "Signal template"). Then send to Micro-segments &amp; NBA and open For Review.</t>
        </is>
      </c>
      <c r="G48" s="4" t="inlineStr">
        <is>
          <t>2026-10-20</t>
        </is>
      </c>
      <c r="H48" s="4" t="inlineStr">
        <is>
          <t>As in TS9 (answer key in ../poc-test-sets).</t>
        </is>
      </c>
      <c r="I48" s="4" t="inlineStr">
        <is>
          <t>Tiers: A 4, B 8, C 2. Segments: Engagement 10, Inquiry 3; 1 exception(s).</t>
        </is>
      </c>
      <c r="J48" s="5" t="inlineStr">
        <is>
          <t>Not run</t>
        </is>
      </c>
      <c r="K48" s="5" t="inlineStr"/>
      <c r="L48" s="5" t="inlineStr"/>
    </row>
    <row r="49">
      <c r="A49" s="4" t="inlineStr">
        <is>
          <t>N04</t>
        </is>
      </c>
      <c r="B49" s="4" t="inlineStr">
        <is>
          <t>4-Micro-segments-and-Review</t>
        </is>
      </c>
      <c r="C49" s="4" t="inlineStr">
        <is>
          <t>N04_rep_ownership.xlsx</t>
        </is>
      </c>
      <c r="D49" s="4" t="inlineStr">
        <is>
          <t>Rep ownership and visibility</t>
        </is>
      </c>
      <c r="E49" s="4" t="inlineStr">
        <is>
          <t>Who sees which item: the demo Sales rep role is Rep A (rep.a@client-sample.com) and the Sales manager sees everyone. Owners for Rep A, Rep B, no owner, an owner who is not a user, an owner in capitals, and an owner that is not an email.</t>
        </is>
      </c>
      <c r="F49" s="4" t="inlineStr">
        <is>
          <t>Account Scoring: "Upload a prospect file" = N04_rep_ownership.xlsx (reads its "Lead template" sheet); Score as of 2026-10-20; drop the same file on box 2 (reads "Signal template"). Then send to Micro-segments &amp; NBA and open For Review.</t>
        </is>
      </c>
      <c r="G49" s="4" t="inlineStr">
        <is>
          <t>2026-10-20</t>
        </is>
      </c>
      <c r="H49" s="4" t="inlineStr">
        <is>
          <t>As in TS10 (answer key in ../poc-test-sets).</t>
        </is>
      </c>
      <c r="I49" s="4" t="inlineStr">
        <is>
          <t>Tiers: A 5, B 4. Segments: Inquiry 5, Engagement 4; 0 exception(s).</t>
        </is>
      </c>
      <c r="J49" s="5" t="inlineStr">
        <is>
          <t>Not run</t>
        </is>
      </c>
      <c r="K49" s="5" t="inlineStr"/>
      <c r="L49" s="5" t="inlineStr"/>
    </row>
  </sheetData>
  <autoFilter ref="A1:L49"/>
  <conditionalFormatting sqref="J2:J49">
    <cfRule type="expression" priority="1" dxfId="0">
      <formula>$J2="Pass"</formula>
    </cfRule>
    <cfRule type="expression" priority="2" dxfId="1">
      <formula>$J2="Fail"</formula>
    </cfRule>
    <cfRule type="expression" priority="3" dxfId="2">
      <formula>$J2="Blocked"</formula>
    </cfRule>
    <cfRule type="expression" priority="4" dxfId="3">
      <formula>$J2="Not in scope"</formula>
    </cfRule>
  </conditionalFormatting>
  <dataValidations count="1">
    <dataValidation sqref="J2:J49" showDropDown="0" showInputMessage="0" showErrorMessage="0" allowBlank="1" type="list">
      <formula1>"Not run,Pass,Fail,Blocked,Not in scope"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6" customWidth="1" min="3" max="3"/>
    <col width="46" customWidth="1" min="4" max="4"/>
    <col width="34" customWidth="1" min="5" max="5"/>
    <col width="40" customWidth="1" min="6" max="6"/>
    <col width="10" customWidth="1" min="7" max="7"/>
    <col width="16" customWidth="1" min="8" max="8"/>
    <col width="11" customWidth="1" min="9" max="9"/>
    <col width="30" customWidth="1" min="10" max="10"/>
  </cols>
  <sheetData>
    <row r="1">
      <c r="A1" s="3" t="inlineStr">
        <is>
          <t>File</t>
        </is>
      </c>
      <c r="B1" s="3" t="inlineStr">
        <is>
          <t>Row</t>
        </is>
      </c>
      <c r="C1" s="3" t="inlineStr">
        <is>
          <t>What the row tests</t>
        </is>
      </c>
      <c r="D1" s="3" t="inlineStr">
        <is>
          <t>Expected flags (field: code issue)</t>
        </is>
      </c>
      <c r="E1" s="3" t="inlineStr">
        <is>
          <t>Expected notes</t>
        </is>
      </c>
      <c r="F1" s="3" t="inlineStr">
        <is>
          <t>Expected contact status</t>
        </is>
      </c>
      <c r="G1" s="3" t="inlineStr">
        <is>
          <t>Persona</t>
        </is>
      </c>
      <c r="H1" s="3" t="inlineStr">
        <is>
          <t>Reachable by</t>
        </is>
      </c>
      <c r="I1" s="3" t="inlineStr">
        <is>
          <t>Status</t>
        </is>
      </c>
      <c r="J1" s="3" t="inlineStr">
        <is>
          <t>What actually happened</t>
        </is>
      </c>
    </row>
    <row r="2">
      <c r="A2" s="6" t="inlineStr">
        <is>
          <t>P01</t>
        </is>
      </c>
      <c r="B2" s="6" t="n">
        <v>2</v>
      </c>
      <c r="C2" s="6" t="inlineStr">
        <is>
          <t>Primary persona, verified email and LinkedIn</t>
        </is>
      </c>
      <c r="D2" s="6" t="inlineStr">
        <is>
          <t>None</t>
        </is>
      </c>
      <c r="E2" s="6" t="inlineStr"/>
      <c r="F2" s="6" t="inlineStr">
        <is>
          <t>In the final list</t>
        </is>
      </c>
      <c r="G2" s="6" t="inlineStr">
        <is>
          <t>Primary</t>
        </is>
      </c>
      <c r="H2" s="6" t="inlineStr">
        <is>
          <t>email and LinkedIn</t>
        </is>
      </c>
      <c r="I2" s="7" t="inlineStr">
        <is>
          <t>Not run</t>
        </is>
      </c>
      <c r="J2" s="7" t="inlineStr"/>
    </row>
    <row r="3">
      <c r="A3" s="6" t="inlineStr">
        <is>
          <t>P01</t>
        </is>
      </c>
      <c r="B3" s="6" t="n">
        <v>3</v>
      </c>
      <c r="C3" s="6" t="inlineStr">
        <is>
          <t>Secondary persona</t>
        </is>
      </c>
      <c r="D3" s="6" t="inlineStr">
        <is>
          <t>None</t>
        </is>
      </c>
      <c r="E3" s="6" t="inlineStr"/>
      <c r="F3" s="6" t="inlineStr">
        <is>
          <t>In the final list</t>
        </is>
      </c>
      <c r="G3" s="6" t="inlineStr">
        <is>
          <t>Secondary</t>
        </is>
      </c>
      <c r="H3" s="6" t="inlineStr">
        <is>
          <t>email and LinkedIn</t>
        </is>
      </c>
      <c r="I3" s="7" t="inlineStr">
        <is>
          <t>Not run</t>
        </is>
      </c>
      <c r="J3" s="7" t="inlineStr"/>
    </row>
    <row r="4">
      <c r="A4" s="6" t="inlineStr">
        <is>
          <t>P01</t>
        </is>
      </c>
      <c r="B4" s="6" t="n">
        <v>4</v>
      </c>
      <c r="C4" s="6" t="inlineStr">
        <is>
          <t>No persona (still in the list)</t>
        </is>
      </c>
      <c r="D4" s="6" t="inlineStr">
        <is>
          <t>None</t>
        </is>
      </c>
      <c r="E4" s="6" t="inlineStr"/>
      <c r="F4" s="6" t="inlineStr">
        <is>
          <t>In the final list</t>
        </is>
      </c>
      <c r="G4" s="6" t="inlineStr">
        <is>
          <t>None</t>
        </is>
      </c>
      <c r="H4" s="6" t="inlineStr">
        <is>
          <t>email and LinkedIn</t>
        </is>
      </c>
      <c r="I4" s="7" t="inlineStr">
        <is>
          <t>Not run</t>
        </is>
      </c>
      <c r="J4" s="7" t="inlineStr"/>
    </row>
    <row r="5">
      <c r="A5" s="6" t="inlineStr">
        <is>
          <t>P01</t>
        </is>
      </c>
      <c r="B5" s="6" t="n">
        <v>5</v>
      </c>
      <c r="C5" s="6" t="inlineStr">
        <is>
          <t>Primary persona, verified email and LinkedIn</t>
        </is>
      </c>
      <c r="D5" s="6" t="inlineStr">
        <is>
          <t>None</t>
        </is>
      </c>
      <c r="E5" s="6" t="inlineStr"/>
      <c r="F5" s="6" t="inlineStr">
        <is>
          <t>In the final list</t>
        </is>
      </c>
      <c r="G5" s="6" t="inlineStr">
        <is>
          <t>Primary</t>
        </is>
      </c>
      <c r="H5" s="6" t="inlineStr">
        <is>
          <t>email and LinkedIn</t>
        </is>
      </c>
      <c r="I5" s="7" t="inlineStr">
        <is>
          <t>Not run</t>
        </is>
      </c>
      <c r="J5" s="7" t="inlineStr"/>
    </row>
    <row r="6">
      <c r="A6" s="6" t="inlineStr">
        <is>
          <t>P01</t>
        </is>
      </c>
      <c r="B6" s="6" t="n">
        <v>6</v>
      </c>
      <c r="C6" s="6" t="inlineStr">
        <is>
          <t>Secondary persona</t>
        </is>
      </c>
      <c r="D6" s="6" t="inlineStr">
        <is>
          <t>None</t>
        </is>
      </c>
      <c r="E6" s="6" t="inlineStr"/>
      <c r="F6" s="6" t="inlineStr">
        <is>
          <t>In the final list</t>
        </is>
      </c>
      <c r="G6" s="6" t="inlineStr">
        <is>
          <t>Secondary</t>
        </is>
      </c>
      <c r="H6" s="6" t="inlineStr">
        <is>
          <t>email and LinkedIn</t>
        </is>
      </c>
      <c r="I6" s="7" t="inlineStr">
        <is>
          <t>Not run</t>
        </is>
      </c>
      <c r="J6" s="7" t="inlineStr"/>
    </row>
    <row r="7">
      <c r="A7" s="6" t="inlineStr">
        <is>
          <t>P01</t>
        </is>
      </c>
      <c r="B7" s="6" t="n">
        <v>7</v>
      </c>
      <c r="C7" s="6" t="inlineStr">
        <is>
          <t>No persona (still in the list)</t>
        </is>
      </c>
      <c r="D7" s="6" t="inlineStr">
        <is>
          <t>None</t>
        </is>
      </c>
      <c r="E7" s="6" t="inlineStr"/>
      <c r="F7" s="6" t="inlineStr">
        <is>
          <t>In the final list</t>
        </is>
      </c>
      <c r="G7" s="6" t="inlineStr">
        <is>
          <t>None</t>
        </is>
      </c>
      <c r="H7" s="6" t="inlineStr">
        <is>
          <t>email and LinkedIn</t>
        </is>
      </c>
      <c r="I7" s="7" t="inlineStr">
        <is>
          <t>Not run</t>
        </is>
      </c>
      <c r="J7" s="7" t="inlineStr"/>
    </row>
    <row r="8">
      <c r="A8" s="6" t="inlineStr">
        <is>
          <t>P01</t>
        </is>
      </c>
      <c r="B8" s="6" t="n">
        <v>8</v>
      </c>
      <c r="C8" s="6" t="inlineStr">
        <is>
          <t>Primary persona, verified email and LinkedIn</t>
        </is>
      </c>
      <c r="D8" s="6" t="inlineStr">
        <is>
          <t>None</t>
        </is>
      </c>
      <c r="E8" s="6" t="inlineStr"/>
      <c r="F8" s="6" t="inlineStr">
        <is>
          <t>In the final list</t>
        </is>
      </c>
      <c r="G8" s="6" t="inlineStr">
        <is>
          <t>Primary</t>
        </is>
      </c>
      <c r="H8" s="6" t="inlineStr">
        <is>
          <t>email and LinkedIn</t>
        </is>
      </c>
      <c r="I8" s="7" t="inlineStr">
        <is>
          <t>Not run</t>
        </is>
      </c>
      <c r="J8" s="7" t="inlineStr"/>
    </row>
    <row r="9">
      <c r="A9" s="6" t="inlineStr">
        <is>
          <t>P01</t>
        </is>
      </c>
      <c r="B9" s="6" t="n">
        <v>9</v>
      </c>
      <c r="C9" s="6" t="inlineStr">
        <is>
          <t>Secondary persona</t>
        </is>
      </c>
      <c r="D9" s="6" t="inlineStr">
        <is>
          <t>None</t>
        </is>
      </c>
      <c r="E9" s="6" t="inlineStr"/>
      <c r="F9" s="6" t="inlineStr">
        <is>
          <t>In the final list</t>
        </is>
      </c>
      <c r="G9" s="6" t="inlineStr">
        <is>
          <t>Secondary</t>
        </is>
      </c>
      <c r="H9" s="6" t="inlineStr">
        <is>
          <t>email and LinkedIn</t>
        </is>
      </c>
      <c r="I9" s="7" t="inlineStr">
        <is>
          <t>Not run</t>
        </is>
      </c>
      <c r="J9" s="7" t="inlineStr"/>
    </row>
    <row r="10">
      <c r="A10" s="6" t="inlineStr">
        <is>
          <t>P01</t>
        </is>
      </c>
      <c r="B10" s="6" t="n">
        <v>10</v>
      </c>
      <c r="C10" s="6" t="inlineStr">
        <is>
          <t>No persona (still in the list)</t>
        </is>
      </c>
      <c r="D10" s="6" t="inlineStr">
        <is>
          <t>None</t>
        </is>
      </c>
      <c r="E10" s="6" t="inlineStr"/>
      <c r="F10" s="6" t="inlineStr">
        <is>
          <t>In the final list</t>
        </is>
      </c>
      <c r="G10" s="6" t="inlineStr">
        <is>
          <t>None</t>
        </is>
      </c>
      <c r="H10" s="6" t="inlineStr">
        <is>
          <t>email and LinkedIn</t>
        </is>
      </c>
      <c r="I10" s="7" t="inlineStr">
        <is>
          <t>Not run</t>
        </is>
      </c>
      <c r="J10" s="7" t="inlineStr"/>
    </row>
    <row r="11">
      <c r="A11" s="6" t="inlineStr">
        <is>
          <t>P01</t>
        </is>
      </c>
      <c r="B11" s="6" t="n">
        <v>11</v>
      </c>
      <c r="C11" s="6" t="inlineStr">
        <is>
          <t>Primary persona, verified email and LinkedIn</t>
        </is>
      </c>
      <c r="D11" s="6" t="inlineStr">
        <is>
          <t>None</t>
        </is>
      </c>
      <c r="E11" s="6" t="inlineStr"/>
      <c r="F11" s="6" t="inlineStr">
        <is>
          <t>In the final list</t>
        </is>
      </c>
      <c r="G11" s="6" t="inlineStr">
        <is>
          <t>Primary</t>
        </is>
      </c>
      <c r="H11" s="6" t="inlineStr">
        <is>
          <t>email and LinkedIn</t>
        </is>
      </c>
      <c r="I11" s="7" t="inlineStr">
        <is>
          <t>Not run</t>
        </is>
      </c>
      <c r="J11" s="7" t="inlineStr"/>
    </row>
    <row r="12">
      <c r="A12" s="6" t="inlineStr">
        <is>
          <t>P01</t>
        </is>
      </c>
      <c r="B12" s="6" t="n">
        <v>12</v>
      </c>
      <c r="C12" s="6" t="inlineStr">
        <is>
          <t>Secondary persona</t>
        </is>
      </c>
      <c r="D12" s="6" t="inlineStr">
        <is>
          <t>None</t>
        </is>
      </c>
      <c r="E12" s="6" t="inlineStr"/>
      <c r="F12" s="6" t="inlineStr">
        <is>
          <t>In the final list</t>
        </is>
      </c>
      <c r="G12" s="6" t="inlineStr">
        <is>
          <t>Secondary</t>
        </is>
      </c>
      <c r="H12" s="6" t="inlineStr">
        <is>
          <t>email and LinkedIn</t>
        </is>
      </c>
      <c r="I12" s="7" t="inlineStr">
        <is>
          <t>Not run</t>
        </is>
      </c>
      <c r="J12" s="7" t="inlineStr"/>
    </row>
    <row r="13">
      <c r="A13" s="6" t="inlineStr">
        <is>
          <t>P01</t>
        </is>
      </c>
      <c r="B13" s="6" t="n">
        <v>13</v>
      </c>
      <c r="C13" s="6" t="inlineStr">
        <is>
          <t>No persona (still in the list)</t>
        </is>
      </c>
      <c r="D13" s="6" t="inlineStr">
        <is>
          <t>None</t>
        </is>
      </c>
      <c r="E13" s="6" t="inlineStr"/>
      <c r="F13" s="6" t="inlineStr">
        <is>
          <t>In the final list</t>
        </is>
      </c>
      <c r="G13" s="6" t="inlineStr">
        <is>
          <t>None</t>
        </is>
      </c>
      <c r="H13" s="6" t="inlineStr">
        <is>
          <t>email and LinkedIn</t>
        </is>
      </c>
      <c r="I13" s="7" t="inlineStr">
        <is>
          <t>Not run</t>
        </is>
      </c>
      <c r="J13" s="7" t="inlineStr"/>
    </row>
    <row r="14">
      <c r="A14" s="6" t="inlineStr">
        <is>
          <t>P01</t>
        </is>
      </c>
      <c r="B14" s="6" t="n">
        <v>14</v>
      </c>
      <c r="C14" s="6" t="inlineStr">
        <is>
          <t>Primary persona, verified email and LinkedIn</t>
        </is>
      </c>
      <c r="D14" s="6" t="inlineStr">
        <is>
          <t>None</t>
        </is>
      </c>
      <c r="E14" s="6" t="inlineStr"/>
      <c r="F14" s="6" t="inlineStr">
        <is>
          <t>In the final list</t>
        </is>
      </c>
      <c r="G14" s="6" t="inlineStr">
        <is>
          <t>Primary</t>
        </is>
      </c>
      <c r="H14" s="6" t="inlineStr">
        <is>
          <t>email and LinkedIn</t>
        </is>
      </c>
      <c r="I14" s="7" t="inlineStr">
        <is>
          <t>Not run</t>
        </is>
      </c>
      <c r="J14" s="7" t="inlineStr"/>
    </row>
    <row r="15">
      <c r="A15" s="6" t="inlineStr">
        <is>
          <t>P01</t>
        </is>
      </c>
      <c r="B15" s="6" t="n">
        <v>15</v>
      </c>
      <c r="C15" s="6" t="inlineStr">
        <is>
          <t>Secondary persona</t>
        </is>
      </c>
      <c r="D15" s="6" t="inlineStr">
        <is>
          <t>None</t>
        </is>
      </c>
      <c r="E15" s="6" t="inlineStr"/>
      <c r="F15" s="6" t="inlineStr">
        <is>
          <t>In the final list</t>
        </is>
      </c>
      <c r="G15" s="6" t="inlineStr">
        <is>
          <t>Secondary</t>
        </is>
      </c>
      <c r="H15" s="6" t="inlineStr">
        <is>
          <t>email and LinkedIn</t>
        </is>
      </c>
      <c r="I15" s="7" t="inlineStr">
        <is>
          <t>Not run</t>
        </is>
      </c>
      <c r="J15" s="7" t="inlineStr"/>
    </row>
    <row r="16">
      <c r="A16" s="6" t="inlineStr">
        <is>
          <t>P01</t>
        </is>
      </c>
      <c r="B16" s="6" t="n">
        <v>16</v>
      </c>
      <c r="C16" s="6" t="inlineStr">
        <is>
          <t>No persona (still in the list)</t>
        </is>
      </c>
      <c r="D16" s="6" t="inlineStr">
        <is>
          <t>None</t>
        </is>
      </c>
      <c r="E16" s="6" t="inlineStr"/>
      <c r="F16" s="6" t="inlineStr">
        <is>
          <t>In the final list</t>
        </is>
      </c>
      <c r="G16" s="6" t="inlineStr">
        <is>
          <t>None</t>
        </is>
      </c>
      <c r="H16" s="6" t="inlineStr">
        <is>
          <t>email and LinkedIn</t>
        </is>
      </c>
      <c r="I16" s="7" t="inlineStr">
        <is>
          <t>Not run</t>
        </is>
      </c>
      <c r="J16" s="7" t="inlineStr"/>
    </row>
    <row r="17">
      <c r="A17" s="4" t="inlineStr">
        <is>
          <t>P02</t>
        </is>
      </c>
      <c r="B17" s="4" t="n">
        <v>2</v>
      </c>
      <c r="C17" s="4" t="inlineStr">
        <is>
          <t>Control: clean</t>
        </is>
      </c>
      <c r="D17" s="4" t="inlineStr">
        <is>
          <t>None</t>
        </is>
      </c>
      <c r="E17" s="4" t="inlineStr"/>
      <c r="F17" s="4" t="inlineStr">
        <is>
          <t>In the final list</t>
        </is>
      </c>
      <c r="G17" s="4" t="inlineStr">
        <is>
          <t>Primary</t>
        </is>
      </c>
      <c r="H17" s="4" t="inlineStr">
        <is>
          <t>email and LinkedIn</t>
        </is>
      </c>
      <c r="I17" s="5" t="inlineStr">
        <is>
          <t>Not run</t>
        </is>
      </c>
      <c r="J17" s="5" t="inlineStr"/>
    </row>
    <row r="18">
      <c r="A18" s="4" t="inlineStr">
        <is>
          <t>P02</t>
        </is>
      </c>
      <c r="B18" s="4" t="n">
        <v>3</v>
      </c>
      <c r="C18" s="4" t="inlineStr">
        <is>
          <t>No domain ending (.com): malformed</t>
        </is>
      </c>
      <c r="D18" s="4" t="inlineStr">
        <is>
          <t>email: D3 Email "lina.ong@coralbay" is malformed</t>
        </is>
      </c>
      <c r="E18" s="4" t="inlineStr"/>
      <c r="F18" s="4" t="inlineStr">
        <is>
          <t>In the final list</t>
        </is>
      </c>
      <c r="G18" s="4" t="inlineStr">
        <is>
          <t>Primary</t>
        </is>
      </c>
      <c r="H18" s="4" t="inlineStr">
        <is>
          <t>LinkedIn</t>
        </is>
      </c>
      <c r="I18" s="5" t="inlineStr">
        <is>
          <t>Not run</t>
        </is>
      </c>
      <c r="J18" s="5" t="inlineStr"/>
    </row>
    <row r="19">
      <c r="A19" s="4" t="inlineStr">
        <is>
          <t>P02</t>
        </is>
      </c>
      <c r="B19" s="4" t="n">
        <v>4</v>
      </c>
      <c r="C19" s="4" t="inlineStr">
        <is>
          <t>Space inside the email: malformed</t>
        </is>
      </c>
      <c r="D19" s="4" t="inlineStr">
        <is>
          <t>email: D3 Email "marcus yeo@coralbayrefining.example" is malformed</t>
        </is>
      </c>
      <c r="E19" s="4" t="inlineStr"/>
      <c r="F19" s="4" t="inlineStr">
        <is>
          <t>In the final list</t>
        </is>
      </c>
      <c r="G19" s="4" t="inlineStr">
        <is>
          <t>Primary</t>
        </is>
      </c>
      <c r="H19" s="4" t="inlineStr">
        <is>
          <t>LinkedIn</t>
        </is>
      </c>
      <c r="I19" s="5" t="inlineStr">
        <is>
          <t>Not run</t>
        </is>
      </c>
      <c r="J19" s="5" t="inlineStr"/>
    </row>
    <row r="20">
      <c r="A20" s="4" t="inlineStr">
        <is>
          <t>P02</t>
        </is>
      </c>
      <c r="B20" s="4" t="n">
        <v>5</v>
      </c>
      <c r="C20" s="4" t="inlineStr">
        <is>
          <t>Two @ signs: malformed</t>
        </is>
      </c>
      <c r="D20" s="4" t="inlineStr">
        <is>
          <t>email: D3 Email "joanne.sim@@coralbayrefining.example" is malformed</t>
        </is>
      </c>
      <c r="E20" s="4" t="inlineStr"/>
      <c r="F20" s="4" t="inlineStr">
        <is>
          <t>In the final list</t>
        </is>
      </c>
      <c r="G20" s="4" t="inlineStr">
        <is>
          <t>Primary</t>
        </is>
      </c>
      <c r="H20" s="4" t="inlineStr">
        <is>
          <t>LinkedIn</t>
        </is>
      </c>
      <c r="I20" s="5" t="inlineStr">
        <is>
          <t>Not run</t>
        </is>
      </c>
      <c r="J20" s="5" t="inlineStr"/>
    </row>
    <row r="21">
      <c r="A21" s="4" t="inlineStr">
        <is>
          <t>P02</t>
        </is>
      </c>
      <c r="B21" s="4" t="n">
        <v>6</v>
      </c>
      <c r="C21" s="4" t="inlineStr">
        <is>
          <t>Clean email, no LinkedIn: email only</t>
        </is>
      </c>
      <c r="D21" s="4" t="inlineStr">
        <is>
          <t>None</t>
        </is>
      </c>
      <c r="E21" s="4" t="inlineStr">
        <is>
          <t>linkedin_url: No LinkedIn URL</t>
        </is>
      </c>
      <c r="F21" s="4" t="inlineStr">
        <is>
          <t>In the final list</t>
        </is>
      </c>
      <c r="G21" s="4" t="inlineStr">
        <is>
          <t>Primary</t>
        </is>
      </c>
      <c r="H21" s="4" t="inlineStr">
        <is>
          <t>email</t>
        </is>
      </c>
      <c r="I21" s="5" t="inlineStr">
        <is>
          <t>Not run</t>
        </is>
      </c>
      <c r="J21" s="5" t="inlineStr"/>
    </row>
    <row r="22">
      <c r="A22" s="4" t="inlineStr">
        <is>
          <t>P02</t>
        </is>
      </c>
      <c r="B22" s="4" t="n">
        <v>7</v>
      </c>
      <c r="C22" s="4" t="inlineStr">
        <is>
          <t>Email in capitals: accepted and read in lower case</t>
        </is>
      </c>
      <c r="D22" s="4" t="inlineStr">
        <is>
          <t>None</t>
        </is>
      </c>
      <c r="E22" s="4" t="inlineStr"/>
      <c r="F22" s="4" t="inlineStr">
        <is>
          <t>In the final list</t>
        </is>
      </c>
      <c r="G22" s="4" t="inlineStr">
        <is>
          <t>Primary</t>
        </is>
      </c>
      <c r="H22" s="4" t="inlineStr">
        <is>
          <t>email and LinkedIn</t>
        </is>
      </c>
      <c r="I22" s="5" t="inlineStr">
        <is>
          <t>Not run</t>
        </is>
      </c>
      <c r="J22" s="5" t="inlineStr"/>
    </row>
    <row r="23">
      <c r="A23" s="4" t="inlineStr">
        <is>
          <t>P02</t>
        </is>
      </c>
      <c r="B23" s="4" t="n">
        <v>8</v>
      </c>
      <c r="C23" s="4" t="inlineStr">
        <is>
          <t>Verified written TRUE instead of Y: flagged, email treated as not verified</t>
        </is>
      </c>
      <c r="D23" s="4" t="inlineStr">
        <is>
          <t>email_verified: D3 "TRUE" isn't Y or N</t>
        </is>
      </c>
      <c r="E23" s="4" t="inlineStr"/>
      <c r="F23" s="4" t="inlineStr">
        <is>
          <t>In the final list</t>
        </is>
      </c>
      <c r="G23" s="4" t="inlineStr">
        <is>
          <t>Primary</t>
        </is>
      </c>
      <c r="H23" s="4" t="inlineStr">
        <is>
          <t>LinkedIn</t>
        </is>
      </c>
      <c r="I23" s="5" t="inlineStr">
        <is>
          <t>Not run</t>
        </is>
      </c>
      <c r="J23" s="5" t="inlineStr"/>
    </row>
    <row r="24">
      <c r="A24" s="4" t="inlineStr">
        <is>
          <t>P02</t>
        </is>
      </c>
      <c r="B24" s="4" t="n">
        <v>9</v>
      </c>
      <c r="C24" s="4" t="inlineStr">
        <is>
          <t>Verified written "yes": accepted as Y</t>
        </is>
      </c>
      <c r="D24" s="4" t="inlineStr">
        <is>
          <t>None</t>
        </is>
      </c>
      <c r="E24" s="4" t="inlineStr"/>
      <c r="F24" s="4" t="inlineStr">
        <is>
          <t>In the final list</t>
        </is>
      </c>
      <c r="G24" s="4" t="inlineStr">
        <is>
          <t>Primary</t>
        </is>
      </c>
      <c r="H24" s="4" t="inlineStr">
        <is>
          <t>email and LinkedIn</t>
        </is>
      </c>
      <c r="I24" s="5" t="inlineStr">
        <is>
          <t>Not run</t>
        </is>
      </c>
      <c r="J24" s="5" t="inlineStr"/>
    </row>
    <row r="25">
      <c r="A25" s="4" t="inlineStr">
        <is>
          <t>P02</t>
        </is>
      </c>
      <c r="B25" s="4" t="n">
        <v>10</v>
      </c>
      <c r="C25" s="4" t="inlineStr">
        <is>
          <t>Not verified: loaded, email not used; reached by LinkedIn</t>
        </is>
      </c>
      <c r="D25" s="4" t="inlineStr">
        <is>
          <t>None</t>
        </is>
      </c>
      <c r="E25" s="4" t="inlineStr">
        <is>
          <t>email_verified: Email not verified</t>
        </is>
      </c>
      <c r="F25" s="4" t="inlineStr">
        <is>
          <t>In the final list</t>
        </is>
      </c>
      <c r="G25" s="4" t="inlineStr">
        <is>
          <t>Primary</t>
        </is>
      </c>
      <c r="H25" s="4" t="inlineStr">
        <is>
          <t>LinkedIn</t>
        </is>
      </c>
      <c r="I25" s="5" t="inlineStr">
        <is>
          <t>Not run</t>
        </is>
      </c>
      <c r="J25" s="5" t="inlineStr"/>
    </row>
    <row r="26">
      <c r="A26" s="4" t="inlineStr">
        <is>
          <t>P02</t>
        </is>
      </c>
      <c r="B26" s="4" t="n">
        <v>11</v>
      </c>
      <c r="C26" s="4" t="inlineStr">
        <is>
          <t>Verified left blank: treated as not verified</t>
        </is>
      </c>
      <c r="D26" s="4" t="inlineStr">
        <is>
          <t>None</t>
        </is>
      </c>
      <c r="E26" s="4" t="inlineStr">
        <is>
          <t>email_verified: Email not verified</t>
        </is>
      </c>
      <c r="F26" s="4" t="inlineStr">
        <is>
          <t>In the final list</t>
        </is>
      </c>
      <c r="G26" s="4" t="inlineStr">
        <is>
          <t>Primary</t>
        </is>
      </c>
      <c r="H26" s="4" t="inlineStr">
        <is>
          <t>LinkedIn</t>
        </is>
      </c>
      <c r="I26" s="5" t="inlineStr">
        <is>
          <t>Not run</t>
        </is>
      </c>
      <c r="J26" s="5" t="inlineStr"/>
    </row>
    <row r="27">
      <c r="A27" s="4" t="inlineStr">
        <is>
          <t>P02</t>
        </is>
      </c>
      <c r="B27" s="4" t="n">
        <v>12</v>
      </c>
      <c r="C27" s="4" t="inlineStr">
        <is>
          <t>Malformed email and no LinkedIn: no way to reach them</t>
        </is>
      </c>
      <c r="D27" s="4" t="inlineStr">
        <is>
          <t>email: D3 Email "omar.aziz@coralbay" is malformed</t>
        </is>
      </c>
      <c r="E27" s="4" t="inlineStr"/>
      <c r="F27" s="4" t="inlineStr">
        <is>
          <t>In the list, not contactable (no usable email or LinkedIn)</t>
        </is>
      </c>
      <c r="G27" s="4" t="inlineStr">
        <is>
          <t>Primary</t>
        </is>
      </c>
      <c r="H27" s="4" t="inlineStr">
        <is>
          <t>none</t>
        </is>
      </c>
      <c r="I27" s="5" t="inlineStr">
        <is>
          <t>Not run</t>
        </is>
      </c>
      <c r="J27" s="5" t="inlineStr"/>
    </row>
    <row r="28">
      <c r="A28" s="4" t="inlineStr">
        <is>
          <t>P02</t>
        </is>
      </c>
      <c r="B28" s="4" t="n">
        <v>13</v>
      </c>
      <c r="C28" s="4" t="inlineStr">
        <is>
          <t>Not verified and no LinkedIn: not contactable</t>
        </is>
      </c>
      <c r="D28" s="4" t="inlineStr">
        <is>
          <t>None</t>
        </is>
      </c>
      <c r="E28" s="4" t="inlineStr">
        <is>
          <t>email_verified: Email not verified
linkedin_url: No LinkedIn URL</t>
        </is>
      </c>
      <c r="F28" s="4" t="inlineStr">
        <is>
          <t>In the list, not contactable (no usable email or LinkedIn)</t>
        </is>
      </c>
      <c r="G28" s="4" t="inlineStr">
        <is>
          <t>Primary</t>
        </is>
      </c>
      <c r="H28" s="4" t="inlineStr">
        <is>
          <t>none</t>
        </is>
      </c>
      <c r="I28" s="5" t="inlineStr">
        <is>
          <t>Not run</t>
        </is>
      </c>
      <c r="J28" s="5" t="inlineStr"/>
    </row>
    <row r="29">
      <c r="A29" s="6" t="inlineStr">
        <is>
          <t>P03</t>
        </is>
      </c>
      <c r="B29" s="6" t="n">
        <v>2</v>
      </c>
      <c r="C29" s="6" t="inlineStr">
        <is>
          <t>Control: clean</t>
        </is>
      </c>
      <c r="D29" s="6" t="inlineStr">
        <is>
          <t>None</t>
        </is>
      </c>
      <c r="E29" s="6" t="inlineStr"/>
      <c r="F29" s="6" t="inlineStr">
        <is>
          <t>In the final list</t>
        </is>
      </c>
      <c r="G29" s="6" t="inlineStr">
        <is>
          <t>Primary</t>
        </is>
      </c>
      <c r="H29" s="6" t="inlineStr">
        <is>
          <t>email and LinkedIn</t>
        </is>
      </c>
      <c r="I29" s="7" t="inlineStr">
        <is>
          <t>Not run</t>
        </is>
      </c>
      <c r="J29" s="7" t="inlineStr"/>
    </row>
    <row r="30">
      <c r="A30" s="6" t="inlineStr">
        <is>
          <t>P03</t>
        </is>
      </c>
      <c r="B30" s="6" t="n">
        <v>3</v>
      </c>
      <c r="C30" s="6" t="inlineStr">
        <is>
          <t>Company page, not a person: flagged, LinkedIn not used</t>
        </is>
      </c>
      <c r="D30" s="6" t="inlineStr">
        <is>
          <t>linkedin_url: D3 LinkedIn URL "https://www.linkedin.com/company/delta-refining" isn't a profile URL</t>
        </is>
      </c>
      <c r="E30" s="6" t="inlineStr"/>
      <c r="F30" s="6" t="inlineStr">
        <is>
          <t>In the final list</t>
        </is>
      </c>
      <c r="G30" s="6" t="inlineStr">
        <is>
          <t>Primary</t>
        </is>
      </c>
      <c r="H30" s="6" t="inlineStr">
        <is>
          <t>email</t>
        </is>
      </c>
      <c r="I30" s="7" t="inlineStr">
        <is>
          <t>Not run</t>
        </is>
      </c>
      <c r="J30" s="7" t="inlineStr"/>
    </row>
    <row r="31">
      <c r="A31" s="6" t="inlineStr">
        <is>
          <t>P03</t>
        </is>
      </c>
      <c r="B31" s="6" t="n">
        <v>4</v>
      </c>
      <c r="C31" s="6" t="inlineStr">
        <is>
          <t>Not a LinkedIn URL: flagged</t>
        </is>
      </c>
      <c r="D31" s="6" t="inlineStr">
        <is>
          <t>linkedin_url: D3 LinkedIn URL "www.facebook.com/huimin" isn't a profile URL</t>
        </is>
      </c>
      <c r="E31" s="6" t="inlineStr"/>
      <c r="F31" s="6" t="inlineStr">
        <is>
          <t>In the final list</t>
        </is>
      </c>
      <c r="G31" s="6" t="inlineStr">
        <is>
          <t>Primary</t>
        </is>
      </c>
      <c r="H31" s="6" t="inlineStr">
        <is>
          <t>email</t>
        </is>
      </c>
      <c r="I31" s="7" t="inlineStr">
        <is>
          <t>Not run</t>
        </is>
      </c>
      <c r="J31" s="7" t="inlineStr"/>
    </row>
    <row r="32">
      <c r="A32" s="6" t="inlineStr">
        <is>
          <t>P03</t>
        </is>
      </c>
      <c r="B32" s="6" t="n">
        <v>5</v>
      </c>
      <c r="C32" s="6" t="inlineStr">
        <is>
          <t>No https:// or www: accepted</t>
        </is>
      </c>
      <c r="D32" s="6" t="inlineStr">
        <is>
          <t>None</t>
        </is>
      </c>
      <c r="E32" s="6" t="inlineStr"/>
      <c r="F32" s="6" t="inlineStr">
        <is>
          <t>In the final list</t>
        </is>
      </c>
      <c r="G32" s="6" t="inlineStr">
        <is>
          <t>Primary</t>
        </is>
      </c>
      <c r="H32" s="6" t="inlineStr">
        <is>
          <t>email and LinkedIn</t>
        </is>
      </c>
      <c r="I32" s="7" t="inlineStr">
        <is>
          <t>Not run</t>
        </is>
      </c>
      <c r="J32" s="7" t="inlineStr"/>
    </row>
    <row r="33">
      <c r="A33" s="6" t="inlineStr">
        <is>
          <t>P03</t>
        </is>
      </c>
      <c r="B33" s="6" t="n">
        <v>6</v>
      </c>
      <c r="C33" s="6" t="inlineStr">
        <is>
          <t>Trailing slash: accepted</t>
        </is>
      </c>
      <c r="D33" s="6" t="inlineStr">
        <is>
          <t>None</t>
        </is>
      </c>
      <c r="E33" s="6" t="inlineStr"/>
      <c r="F33" s="6" t="inlineStr">
        <is>
          <t>In the final list</t>
        </is>
      </c>
      <c r="G33" s="6" t="inlineStr">
        <is>
          <t>Primary</t>
        </is>
      </c>
      <c r="H33" s="6" t="inlineStr">
        <is>
          <t>email and LinkedIn</t>
        </is>
      </c>
      <c r="I33" s="7" t="inlineStr">
        <is>
          <t>Not run</t>
        </is>
      </c>
      <c r="J33" s="7" t="inlineStr"/>
    </row>
    <row r="34">
      <c r="A34" s="6" t="inlineStr">
        <is>
          <t>P03</t>
        </is>
      </c>
      <c r="B34" s="6" t="n">
        <v>7</v>
      </c>
      <c r="C34" s="6" t="inlineStr">
        <is>
          <t>Old /pub/ profile URL: accepted</t>
        </is>
      </c>
      <c r="D34" s="6" t="inlineStr">
        <is>
          <t>None</t>
        </is>
      </c>
      <c r="E34" s="6" t="inlineStr"/>
      <c r="F34" s="6" t="inlineStr">
        <is>
          <t>In the final list</t>
        </is>
      </c>
      <c r="G34" s="6" t="inlineStr">
        <is>
          <t>Primary</t>
        </is>
      </c>
      <c r="H34" s="6" t="inlineStr">
        <is>
          <t>email and LinkedIn</t>
        </is>
      </c>
      <c r="I34" s="7" t="inlineStr">
        <is>
          <t>Not run</t>
        </is>
      </c>
      <c r="J34" s="7" t="inlineStr"/>
    </row>
    <row r="35">
      <c r="A35" s="6" t="inlineStr">
        <is>
          <t>P03</t>
        </is>
      </c>
      <c r="B35" s="6" t="n">
        <v>8</v>
      </c>
      <c r="C35" s="6" t="inlineStr">
        <is>
          <t>No email, LinkedIn only: reached on LinkedIn</t>
        </is>
      </c>
      <c r="D35" s="6" t="inlineStr">
        <is>
          <t>None</t>
        </is>
      </c>
      <c r="E35" s="6" t="inlineStr">
        <is>
          <t>email: No email</t>
        </is>
      </c>
      <c r="F35" s="6" t="inlineStr">
        <is>
          <t>In the final list</t>
        </is>
      </c>
      <c r="G35" s="6" t="inlineStr">
        <is>
          <t>Primary</t>
        </is>
      </c>
      <c r="H35" s="6" t="inlineStr">
        <is>
          <t>LinkedIn</t>
        </is>
      </c>
      <c r="I35" s="7" t="inlineStr">
        <is>
          <t>Not run</t>
        </is>
      </c>
      <c r="J35" s="7" t="inlineStr"/>
    </row>
    <row r="36">
      <c r="A36" s="6" t="inlineStr">
        <is>
          <t>P03</t>
        </is>
      </c>
      <c r="B36" s="6" t="n">
        <v>9</v>
      </c>
      <c r="C36" s="6" t="inlineStr">
        <is>
          <t>No email and no LinkedIn: flagged, kept on the account, not contactable</t>
        </is>
      </c>
      <c r="D36" s="6" t="inlineStr">
        <is>
          <t>email / linkedin_url: D3 No email and no LinkedIn URL</t>
        </is>
      </c>
      <c r="E36" s="6" t="inlineStr"/>
      <c r="F36" s="6" t="inlineStr">
        <is>
          <t>In the list, not contactable (no usable email or LinkedIn)</t>
        </is>
      </c>
      <c r="G36" s="6" t="inlineStr">
        <is>
          <t>Primary</t>
        </is>
      </c>
      <c r="H36" s="6" t="inlineStr">
        <is>
          <t>none</t>
        </is>
      </c>
      <c r="I36" s="7" t="inlineStr">
        <is>
          <t>Not run</t>
        </is>
      </c>
      <c r="J36" s="7" t="inlineStr"/>
    </row>
    <row r="37">
      <c r="A37" s="4" t="inlineStr">
        <is>
          <t>P04</t>
        </is>
      </c>
      <c r="B37" s="4" t="n">
        <v>2</v>
      </c>
      <c r="C37" s="4" t="inlineStr">
        <is>
          <t>First row for Grace Teh (no LinkedIn)</t>
        </is>
      </c>
      <c r="D37" s="4" t="inlineStr">
        <is>
          <t>None</t>
        </is>
      </c>
      <c r="E37" s="4" t="inlineStr">
        <is>
          <t>linkedin_url: No LinkedIn URL</t>
        </is>
      </c>
      <c r="F37" s="4" t="inlineStr">
        <is>
          <t>In the final list</t>
        </is>
      </c>
      <c r="G37" s="4" t="inlineStr">
        <is>
          <t>Primary</t>
        </is>
      </c>
      <c r="H37" s="4" t="inlineStr">
        <is>
          <t>email and LinkedIn</t>
        </is>
      </c>
      <c r="I37" s="5" t="inlineStr">
        <is>
          <t>Not run</t>
        </is>
      </c>
      <c r="J37" s="5" t="inlineStr"/>
    </row>
    <row r="38">
      <c r="A38" s="4" t="inlineStr">
        <is>
          <t>P04</t>
        </is>
      </c>
      <c r="B38" s="4" t="n">
        <v>3</v>
      </c>
      <c r="C38" s="4" t="inlineStr">
        <is>
          <t>Same email in capitals: merged into the row above; its LinkedIn fills the blank</t>
        </is>
      </c>
      <c r="D38" s="4" t="inlineStr">
        <is>
          <t>email: D5 Duplicate of row 2 (Grace Teh)</t>
        </is>
      </c>
      <c r="E38" s="4" t="inlineStr"/>
      <c r="F38" s="4" t="inlineStr">
        <is>
          <t>Merged into an earlier row</t>
        </is>
      </c>
      <c r="G38" s="4" t="inlineStr"/>
      <c r="H38" s="4" t="inlineStr"/>
      <c r="I38" s="5" t="inlineStr">
        <is>
          <t>Not run</t>
        </is>
      </c>
      <c r="J38" s="5" t="inlineStr"/>
    </row>
    <row r="39">
      <c r="A39" s="4" t="inlineStr">
        <is>
          <t>P04</t>
        </is>
      </c>
      <c r="B39" s="4" t="n">
        <v>4</v>
      </c>
      <c r="C39" s="4" t="inlineStr">
        <is>
          <t>First row for Ivan Lo</t>
        </is>
      </c>
      <c r="D39" s="4" t="inlineStr">
        <is>
          <t>None</t>
        </is>
      </c>
      <c r="E39" s="4" t="inlineStr"/>
      <c r="F39" s="4" t="inlineStr">
        <is>
          <t>In the final list</t>
        </is>
      </c>
      <c r="G39" s="4" t="inlineStr">
        <is>
          <t>Primary</t>
        </is>
      </c>
      <c r="H39" s="4" t="inlineStr">
        <is>
          <t>email and LinkedIn</t>
        </is>
      </c>
      <c r="I39" s="5" t="inlineStr">
        <is>
          <t>Not run</t>
        </is>
      </c>
      <c r="J39" s="5" t="inlineStr"/>
    </row>
    <row r="40">
      <c r="A40" s="4" t="inlineStr">
        <is>
          <t>P04</t>
        </is>
      </c>
      <c r="B40" s="4" t="n">
        <v>5</v>
      </c>
      <c r="C40" s="4" t="inlineStr">
        <is>
          <t>Same LinkedIn profile, different URL form, no email: merged</t>
        </is>
      </c>
      <c r="D40" s="4" t="inlineStr">
        <is>
          <t>linkedin_url: D5 Duplicate of row 4 (Ivan Lo)</t>
        </is>
      </c>
      <c r="E40" s="4" t="inlineStr">
        <is>
          <t>email: No email</t>
        </is>
      </c>
      <c r="F40" s="4" t="inlineStr">
        <is>
          <t>Merged into an earlier row</t>
        </is>
      </c>
      <c r="G40" s="4" t="inlineStr"/>
      <c r="H40" s="4" t="inlineStr"/>
      <c r="I40" s="5" t="inlineStr">
        <is>
          <t>Not run</t>
        </is>
      </c>
      <c r="J40" s="5" t="inlineStr"/>
    </row>
    <row r="41">
      <c r="A41" s="4" t="inlineStr">
        <is>
          <t>P04</t>
        </is>
      </c>
      <c r="B41" s="4" t="n">
        <v>6</v>
      </c>
      <c r="C41" s="4" t="inlineStr">
        <is>
          <t>Same name, different email, no LinkedIn: a different contact, not merged</t>
        </is>
      </c>
      <c r="D41" s="4" t="inlineStr">
        <is>
          <t>None</t>
        </is>
      </c>
      <c r="E41" s="4" t="inlineStr">
        <is>
          <t>linkedin_url: No LinkedIn URL</t>
        </is>
      </c>
      <c r="F41" s="4" t="inlineStr">
        <is>
          <t>In the final list</t>
        </is>
      </c>
      <c r="G41" s="4" t="inlineStr">
        <is>
          <t>Primary</t>
        </is>
      </c>
      <c r="H41" s="4" t="inlineStr">
        <is>
          <t>email</t>
        </is>
      </c>
      <c r="I41" s="5" t="inlineStr">
        <is>
          <t>Not run</t>
        </is>
      </c>
      <c r="J41" s="5" t="inlineStr"/>
    </row>
    <row r="42">
      <c r="A42" s="4" t="inlineStr">
        <is>
          <t>P04</t>
        </is>
      </c>
      <c r="B42" s="4" t="n">
        <v>7</v>
      </c>
      <c r="C42" s="4" t="inlineStr">
        <is>
          <t>Another company's row reusing Grace Teh's email: merged into her (worth a look)</t>
        </is>
      </c>
      <c r="D42" s="4" t="inlineStr">
        <is>
          <t>email: D5 Duplicate of row 2 (Grace Teh)</t>
        </is>
      </c>
      <c r="E42" s="4" t="inlineStr">
        <is>
          <t>linkedin_url: No LinkedIn URL</t>
        </is>
      </c>
      <c r="F42" s="4" t="inlineStr">
        <is>
          <t>Merged into an earlier row</t>
        </is>
      </c>
      <c r="G42" s="4" t="inlineStr"/>
      <c r="H42" s="4" t="inlineStr"/>
      <c r="I42" s="5" t="inlineStr">
        <is>
          <t>Not run</t>
        </is>
      </c>
      <c r="J42" s="5" t="inlineStr"/>
    </row>
    <row r="43">
      <c r="A43" s="6" t="inlineStr">
        <is>
          <t>P05</t>
        </is>
      </c>
      <c r="B43" s="6" t="n">
        <v>2</v>
      </c>
      <c r="C43" s="6" t="inlineStr">
        <is>
          <t>legitimate interest: contactable</t>
        </is>
      </c>
      <c r="D43" s="6" t="inlineStr">
        <is>
          <t>None</t>
        </is>
      </c>
      <c r="E43" s="6" t="inlineStr"/>
      <c r="F43" s="6" t="inlineStr">
        <is>
          <t>In the final list</t>
        </is>
      </c>
      <c r="G43" s="6" t="inlineStr">
        <is>
          <t>Primary</t>
        </is>
      </c>
      <c r="H43" s="6" t="inlineStr">
        <is>
          <t>email and LinkedIn</t>
        </is>
      </c>
      <c r="I43" s="7" t="inlineStr">
        <is>
          <t>Not run</t>
        </is>
      </c>
      <c r="J43" s="7" t="inlineStr"/>
    </row>
    <row r="44">
      <c r="A44" s="6" t="inlineStr">
        <is>
          <t>P05</t>
        </is>
      </c>
      <c r="B44" s="6" t="n">
        <v>3</v>
      </c>
      <c r="C44" s="6" t="inlineStr">
        <is>
          <t>existing customer: contactable</t>
        </is>
      </c>
      <c r="D44" s="6" t="inlineStr">
        <is>
          <t>None</t>
        </is>
      </c>
      <c r="E44" s="6" t="inlineStr"/>
      <c r="F44" s="6" t="inlineStr">
        <is>
          <t>In the final list</t>
        </is>
      </c>
      <c r="G44" s="6" t="inlineStr">
        <is>
          <t>Primary</t>
        </is>
      </c>
      <c r="H44" s="6" t="inlineStr">
        <is>
          <t>email and LinkedIn</t>
        </is>
      </c>
      <c r="I44" s="7" t="inlineStr">
        <is>
          <t>Not run</t>
        </is>
      </c>
      <c r="J44" s="7" t="inlineStr"/>
    </row>
    <row r="45">
      <c r="A45" s="6" t="inlineStr">
        <is>
          <t>P05</t>
        </is>
      </c>
      <c r="B45" s="6" t="n">
        <v>4</v>
      </c>
      <c r="C45" s="6" t="inlineStr">
        <is>
          <t>opted in: contactable</t>
        </is>
      </c>
      <c r="D45" s="6" t="inlineStr">
        <is>
          <t>None</t>
        </is>
      </c>
      <c r="E45" s="6" t="inlineStr"/>
      <c r="F45" s="6" t="inlineStr">
        <is>
          <t>In the final list</t>
        </is>
      </c>
      <c r="G45" s="6" t="inlineStr">
        <is>
          <t>Primary</t>
        </is>
      </c>
      <c r="H45" s="6" t="inlineStr">
        <is>
          <t>email and LinkedIn</t>
        </is>
      </c>
      <c r="I45" s="7" t="inlineStr">
        <is>
          <t>Not run</t>
        </is>
      </c>
      <c r="J45" s="7" t="inlineStr"/>
    </row>
    <row r="46">
      <c r="A46" s="6" t="inlineStr">
        <is>
          <t>P05</t>
        </is>
      </c>
      <c r="B46" s="6" t="n">
        <v>5</v>
      </c>
      <c r="C46" s="6" t="inlineStr">
        <is>
          <t>Capitalised basis: accepted</t>
        </is>
      </c>
      <c r="D46" s="6" t="inlineStr">
        <is>
          <t>None</t>
        </is>
      </c>
      <c r="E46" s="6" t="inlineStr"/>
      <c r="F46" s="6" t="inlineStr">
        <is>
          <t>In the final list</t>
        </is>
      </c>
      <c r="G46" s="6" t="inlineStr">
        <is>
          <t>Primary</t>
        </is>
      </c>
      <c r="H46" s="6" t="inlineStr">
        <is>
          <t>email and LinkedIn</t>
        </is>
      </c>
      <c r="I46" s="7" t="inlineStr">
        <is>
          <t>Not run</t>
        </is>
      </c>
      <c r="J46" s="7" t="inlineStr"/>
    </row>
    <row r="47">
      <c r="A47" s="6" t="inlineStr">
        <is>
          <t>P05</t>
        </is>
      </c>
      <c r="B47" s="6" t="n">
        <v>6</v>
      </c>
      <c r="C47" s="6" t="inlineStr">
        <is>
          <t>No consent basis: flagged, not contactable</t>
        </is>
      </c>
      <c r="D47" s="6" t="inlineStr">
        <is>
          <t>consent_basis: D3 No consent basis</t>
        </is>
      </c>
      <c r="E47" s="6" t="inlineStr"/>
      <c r="F47" s="6" t="inlineStr">
        <is>
          <t>In the list, not contactable (no consent basis)</t>
        </is>
      </c>
      <c r="G47" s="6" t="inlineStr">
        <is>
          <t>Primary</t>
        </is>
      </c>
      <c r="H47" s="6" t="inlineStr">
        <is>
          <t>email and LinkedIn</t>
        </is>
      </c>
      <c r="I47" s="7" t="inlineStr">
        <is>
          <t>Not run</t>
        </is>
      </c>
      <c r="J47" s="7" t="inlineStr"/>
    </row>
    <row r="48">
      <c r="A48" s="6" t="inlineStr">
        <is>
          <t>P05</t>
        </is>
      </c>
      <c r="B48" s="6" t="n">
        <v>7</v>
      </c>
      <c r="C48" s="6" t="inlineStr">
        <is>
          <t>"purchased list" is not a recognised basis: flagged, not contactable</t>
        </is>
      </c>
      <c r="D48" s="6" t="inlineStr">
        <is>
          <t>consent_basis: D3 "purchased list" isn't a recognised basis</t>
        </is>
      </c>
      <c r="E48" s="6" t="inlineStr"/>
      <c r="F48" s="6" t="inlineStr">
        <is>
          <t>In the list, not contactable (no consent basis)</t>
        </is>
      </c>
      <c r="G48" s="6" t="inlineStr">
        <is>
          <t>Primary</t>
        </is>
      </c>
      <c r="H48" s="6" t="inlineStr">
        <is>
          <t>email and LinkedIn</t>
        </is>
      </c>
      <c r="I48" s="7" t="inlineStr">
        <is>
          <t>Not run</t>
        </is>
      </c>
      <c r="J48" s="7" t="inlineStr"/>
    </row>
    <row r="49">
      <c r="A49" s="6" t="inlineStr">
        <is>
          <t>P05</t>
        </is>
      </c>
      <c r="B49" s="6" t="n">
        <v>8</v>
      </c>
      <c r="C49" s="6" t="inlineStr">
        <is>
          <t>Opted out: suppressed, never contacted</t>
        </is>
      </c>
      <c r="D49" s="6" t="inlineStr">
        <is>
          <t>None</t>
        </is>
      </c>
      <c r="E49" s="6" t="inlineStr">
        <is>
          <t>opt_out: Opted out</t>
        </is>
      </c>
      <c r="F49" s="6" t="inlineStr">
        <is>
          <t>Not in the list: opted out</t>
        </is>
      </c>
      <c r="G49" s="6" t="inlineStr">
        <is>
          <t>Primary</t>
        </is>
      </c>
      <c r="H49" s="6" t="inlineStr">
        <is>
          <t>email and LinkedIn</t>
        </is>
      </c>
      <c r="I49" s="7" t="inlineStr">
        <is>
          <t>Not run</t>
        </is>
      </c>
      <c r="J49" s="7" t="inlineStr"/>
    </row>
    <row r="50">
      <c r="A50" s="6" t="inlineStr">
        <is>
          <t>P05</t>
        </is>
      </c>
      <c r="B50" s="6" t="n">
        <v>9</v>
      </c>
      <c r="C50" s="6" t="inlineStr">
        <is>
          <t>Opt-out "yes": read as Y, suppressed</t>
        </is>
      </c>
      <c r="D50" s="6" t="inlineStr">
        <is>
          <t>None</t>
        </is>
      </c>
      <c r="E50" s="6" t="inlineStr">
        <is>
          <t>opt_out: Opted out</t>
        </is>
      </c>
      <c r="F50" s="6" t="inlineStr">
        <is>
          <t>Not in the list: opted out</t>
        </is>
      </c>
      <c r="G50" s="6" t="inlineStr">
        <is>
          <t>Primary</t>
        </is>
      </c>
      <c r="H50" s="6" t="inlineStr">
        <is>
          <t>email and LinkedIn</t>
        </is>
      </c>
      <c r="I50" s="7" t="inlineStr">
        <is>
          <t>Not run</t>
        </is>
      </c>
      <c r="J50" s="7" t="inlineStr"/>
    </row>
    <row r="51">
      <c r="A51" s="6" t="inlineStr">
        <is>
          <t>P05</t>
        </is>
      </c>
      <c r="B51" s="6" t="n">
        <v>10</v>
      </c>
      <c r="C51" s="6" t="inlineStr">
        <is>
          <t>Opt-out blank: flagged, not contactable until confirmed</t>
        </is>
      </c>
      <c r="D51" s="6" t="inlineStr">
        <is>
          <t>opt_out: D3 opt_out is blank</t>
        </is>
      </c>
      <c r="E51" s="6" t="inlineStr"/>
      <c r="F51" s="6" t="inlineStr">
        <is>
          <t>In the list, not contactable (opt-out not confirmed)</t>
        </is>
      </c>
      <c r="G51" s="6" t="inlineStr">
        <is>
          <t>Primary</t>
        </is>
      </c>
      <c r="H51" s="6" t="inlineStr">
        <is>
          <t>email and LinkedIn</t>
        </is>
      </c>
      <c r="I51" s="7" t="inlineStr">
        <is>
          <t>Not run</t>
        </is>
      </c>
      <c r="J51" s="7" t="inlineStr"/>
    </row>
    <row r="52">
      <c r="A52" s="6" t="inlineStr">
        <is>
          <t>P05</t>
        </is>
      </c>
      <c r="B52" s="6" t="n">
        <v>11</v>
      </c>
      <c r="C52" s="6" t="inlineStr">
        <is>
          <t>Opt-out "maybe": flagged, not contactable</t>
        </is>
      </c>
      <c r="D52" s="6" t="inlineStr">
        <is>
          <t>opt_out: D3 "maybe" isn't Y or N</t>
        </is>
      </c>
      <c r="E52" s="6" t="inlineStr"/>
      <c r="F52" s="6" t="inlineStr">
        <is>
          <t>In the list, not contactable (opt-out not confirmed)</t>
        </is>
      </c>
      <c r="G52" s="6" t="inlineStr">
        <is>
          <t>Primary</t>
        </is>
      </c>
      <c r="H52" s="6" t="inlineStr">
        <is>
          <t>email and LinkedIn</t>
        </is>
      </c>
      <c r="I52" s="7" t="inlineStr">
        <is>
          <t>Not run</t>
        </is>
      </c>
      <c r="J52" s="7" t="inlineStr"/>
    </row>
    <row r="53">
      <c r="A53" s="6" t="inlineStr">
        <is>
          <t>P05</t>
        </is>
      </c>
      <c r="B53" s="6" t="n">
        <v>12</v>
      </c>
      <c r="C53" s="6" t="inlineStr">
        <is>
          <t>Glenrock: first of two, opted out</t>
        </is>
      </c>
      <c r="D53" s="6" t="inlineStr">
        <is>
          <t>None</t>
        </is>
      </c>
      <c r="E53" s="6" t="inlineStr">
        <is>
          <t>opt_out: Opted out</t>
        </is>
      </c>
      <c r="F53" s="6" t="inlineStr">
        <is>
          <t>Not in the list: account excluded (No contactable contacts after suppression)</t>
        </is>
      </c>
      <c r="G53" s="6" t="inlineStr">
        <is>
          <t>Primary</t>
        </is>
      </c>
      <c r="H53" s="6" t="inlineStr">
        <is>
          <t>email and LinkedIn</t>
        </is>
      </c>
      <c r="I53" s="7" t="inlineStr">
        <is>
          <t>Not run</t>
        </is>
      </c>
      <c r="J53" s="7" t="inlineStr"/>
    </row>
    <row r="54">
      <c r="A54" s="6" t="inlineStr">
        <is>
          <t>P05</t>
        </is>
      </c>
      <c r="B54" s="6" t="n">
        <v>13</v>
      </c>
      <c r="C54" s="6" t="inlineStr">
        <is>
          <t>Glenrock: second of two, opted out, so the whole account is excluded</t>
        </is>
      </c>
      <c r="D54" s="6" t="inlineStr">
        <is>
          <t>None</t>
        </is>
      </c>
      <c r="E54" s="6" t="inlineStr">
        <is>
          <t>opt_out: Opted out</t>
        </is>
      </c>
      <c r="F54" s="6" t="inlineStr">
        <is>
          <t>Not in the list: account excluded (No contactable contacts after suppression)</t>
        </is>
      </c>
      <c r="G54" s="6" t="inlineStr">
        <is>
          <t>Primary</t>
        </is>
      </c>
      <c r="H54" s="6" t="inlineStr">
        <is>
          <t>email and LinkedIn</t>
        </is>
      </c>
      <c r="I54" s="7" t="inlineStr">
        <is>
          <t>Not run</t>
        </is>
      </c>
      <c r="J54" s="7" t="inlineStr"/>
    </row>
    <row r="55">
      <c r="A55" s="4" t="inlineStr">
        <is>
          <t>P06</t>
        </is>
      </c>
      <c r="B55" s="4" t="n">
        <v>2</v>
      </c>
      <c r="C55" s="4" t="inlineStr">
        <is>
          <t>Singapore: passes</t>
        </is>
      </c>
      <c r="D55" s="4" t="inlineStr">
        <is>
          <t>None</t>
        </is>
      </c>
      <c r="E55" s="4" t="inlineStr"/>
      <c r="F55" s="4" t="inlineStr">
        <is>
          <t>In the final list</t>
        </is>
      </c>
      <c r="G55" s="4" t="inlineStr">
        <is>
          <t>Primary</t>
        </is>
      </c>
      <c r="H55" s="4" t="inlineStr">
        <is>
          <t>email and LinkedIn</t>
        </is>
      </c>
      <c r="I55" s="5" t="inlineStr">
        <is>
          <t>Not run</t>
        </is>
      </c>
      <c r="J55" s="5" t="inlineStr"/>
    </row>
    <row r="56">
      <c r="A56" s="4" t="inlineStr">
        <is>
          <t>P06</t>
        </is>
      </c>
      <c r="B56" s="4" t="n">
        <v>3</v>
      </c>
      <c r="C56" s="4" t="inlineStr">
        <is>
          <t>Malaysia: passes</t>
        </is>
      </c>
      <c r="D56" s="4" t="inlineStr">
        <is>
          <t>None</t>
        </is>
      </c>
      <c r="E56" s="4" t="inlineStr"/>
      <c r="F56" s="4" t="inlineStr">
        <is>
          <t>In the final list</t>
        </is>
      </c>
      <c r="G56" s="4" t="inlineStr">
        <is>
          <t>Primary</t>
        </is>
      </c>
      <c r="H56" s="4" t="inlineStr">
        <is>
          <t>email and LinkedIn</t>
        </is>
      </c>
      <c r="I56" s="5" t="inlineStr">
        <is>
          <t>Not run</t>
        </is>
      </c>
      <c r="J56" s="5" t="inlineStr"/>
    </row>
    <row r="57">
      <c r="A57" s="4" t="inlineStr">
        <is>
          <t>P06</t>
        </is>
      </c>
      <c r="B57" s="4" t="n">
        <v>4</v>
      </c>
      <c r="C57" s="4" t="inlineStr">
        <is>
          <t>Thailand: passes</t>
        </is>
      </c>
      <c r="D57" s="4" t="inlineStr">
        <is>
          <t>None</t>
        </is>
      </c>
      <c r="E57" s="4" t="inlineStr"/>
      <c r="F57" s="4" t="inlineStr">
        <is>
          <t>In the final list</t>
        </is>
      </c>
      <c r="G57" s="4" t="inlineStr">
        <is>
          <t>Primary</t>
        </is>
      </c>
      <c r="H57" s="4" t="inlineStr">
        <is>
          <t>email and LinkedIn</t>
        </is>
      </c>
      <c r="I57" s="5" t="inlineStr">
        <is>
          <t>Not run</t>
        </is>
      </c>
      <c r="J57" s="5" t="inlineStr"/>
    </row>
    <row r="58">
      <c r="A58" s="4" t="inlineStr">
        <is>
          <t>P06</t>
        </is>
      </c>
      <c r="B58" s="4" t="n">
        <v>5</v>
      </c>
      <c r="C58" s="4" t="inlineStr">
        <is>
          <t>Philippines: passes</t>
        </is>
      </c>
      <c r="D58" s="4" t="inlineStr">
        <is>
          <t>None</t>
        </is>
      </c>
      <c r="E58" s="4" t="inlineStr"/>
      <c r="F58" s="4" t="inlineStr">
        <is>
          <t>In the final list</t>
        </is>
      </c>
      <c r="G58" s="4" t="inlineStr">
        <is>
          <t>Primary</t>
        </is>
      </c>
      <c r="H58" s="4" t="inlineStr">
        <is>
          <t>email and LinkedIn</t>
        </is>
      </c>
      <c r="I58" s="5" t="inlineStr">
        <is>
          <t>Not run</t>
        </is>
      </c>
      <c r="J58" s="5" t="inlineStr"/>
    </row>
    <row r="59">
      <c r="A59" s="4" t="inlineStr">
        <is>
          <t>P06</t>
        </is>
      </c>
      <c r="B59" s="4" t="n">
        <v>6</v>
      </c>
      <c r="C59" s="4" t="inlineStr">
        <is>
          <t>Indonesia: passes</t>
        </is>
      </c>
      <c r="D59" s="4" t="inlineStr">
        <is>
          <t>None</t>
        </is>
      </c>
      <c r="E59" s="4" t="inlineStr"/>
      <c r="F59" s="4" t="inlineStr">
        <is>
          <t>In the final list</t>
        </is>
      </c>
      <c r="G59" s="4" t="inlineStr">
        <is>
          <t>Primary</t>
        </is>
      </c>
      <c r="H59" s="4" t="inlineStr">
        <is>
          <t>email and LinkedIn</t>
        </is>
      </c>
      <c r="I59" s="5" t="inlineStr">
        <is>
          <t>Not run</t>
        </is>
      </c>
      <c r="J59" s="5" t="inlineStr"/>
    </row>
    <row r="60">
      <c r="A60" s="4" t="inlineStr">
        <is>
          <t>P06</t>
        </is>
      </c>
      <c r="B60" s="4" t="n">
        <v>7</v>
      </c>
      <c r="C60" s="4" t="inlineStr">
        <is>
          <t>Vietnam: passes</t>
        </is>
      </c>
      <c r="D60" s="4" t="inlineStr">
        <is>
          <t>None</t>
        </is>
      </c>
      <c r="E60" s="4" t="inlineStr"/>
      <c r="F60" s="4" t="inlineStr">
        <is>
          <t>In the final list</t>
        </is>
      </c>
      <c r="G60" s="4" t="inlineStr">
        <is>
          <t>Primary</t>
        </is>
      </c>
      <c r="H60" s="4" t="inlineStr">
        <is>
          <t>email and LinkedIn</t>
        </is>
      </c>
      <c r="I60" s="5" t="inlineStr">
        <is>
          <t>Not run</t>
        </is>
      </c>
      <c r="J60" s="5" t="inlineStr"/>
    </row>
    <row r="61">
      <c r="A61" s="4" t="inlineStr">
        <is>
          <t>P06</t>
        </is>
      </c>
      <c r="B61" s="4" t="n">
        <v>8</v>
      </c>
      <c r="C61" s="4" t="inlineStr">
        <is>
          <t>Lower case "singapore": passes</t>
        </is>
      </c>
      <c r="D61" s="4" t="inlineStr">
        <is>
          <t>None</t>
        </is>
      </c>
      <c r="E61" s="4" t="inlineStr"/>
      <c r="F61" s="4" t="inlineStr">
        <is>
          <t>In the final list</t>
        </is>
      </c>
      <c r="G61" s="4" t="inlineStr">
        <is>
          <t>Primary</t>
        </is>
      </c>
      <c r="H61" s="4" t="inlineStr">
        <is>
          <t>email and LinkedIn</t>
        </is>
      </c>
      <c r="I61" s="5" t="inlineStr">
        <is>
          <t>Not run</t>
        </is>
      </c>
      <c r="J61" s="5" t="inlineStr"/>
    </row>
    <row r="62">
      <c r="A62" s="4" t="inlineStr">
        <is>
          <t>P06</t>
        </is>
      </c>
      <c r="B62" s="4" t="n">
        <v>9</v>
      </c>
      <c r="C62" s="4" t="inlineStr">
        <is>
          <t>Spaces around the name: passes</t>
        </is>
      </c>
      <c r="D62" s="4" t="inlineStr">
        <is>
          <t>None</t>
        </is>
      </c>
      <c r="E62" s="4" t="inlineStr"/>
      <c r="F62" s="4" t="inlineStr">
        <is>
          <t>In the final list</t>
        </is>
      </c>
      <c r="G62" s="4" t="inlineStr">
        <is>
          <t>Primary</t>
        </is>
      </c>
      <c r="H62" s="4" t="inlineStr">
        <is>
          <t>email and LinkedIn</t>
        </is>
      </c>
      <c r="I62" s="5" t="inlineStr">
        <is>
          <t>Not run</t>
        </is>
      </c>
      <c r="J62" s="5" t="inlineStr"/>
    </row>
    <row r="63">
      <c r="A63" s="4" t="inlineStr">
        <is>
          <t>P06</t>
        </is>
      </c>
      <c r="B63" s="4" t="n">
        <v>10</v>
      </c>
      <c r="C63" s="4" t="inlineStr">
        <is>
          <t>"SG": excluded as outside the region (confirm with the business whether codes should count)</t>
        </is>
      </c>
      <c r="D63" s="4" t="inlineStr">
        <is>
          <t>None</t>
        </is>
      </c>
      <c r="E63" s="4" t="inlineStr"/>
      <c r="F63" s="4" t="inlineStr">
        <is>
          <t>Not in the list: account excluded (Outside the pilot region (SG))</t>
        </is>
      </c>
      <c r="G63" s="4" t="inlineStr">
        <is>
          <t>Primary</t>
        </is>
      </c>
      <c r="H63" s="4" t="inlineStr">
        <is>
          <t>email and LinkedIn</t>
        </is>
      </c>
      <c r="I63" s="5" t="inlineStr">
        <is>
          <t>Not run</t>
        </is>
      </c>
      <c r="J63" s="5" t="inlineStr"/>
    </row>
    <row r="64">
      <c r="A64" s="4" t="inlineStr">
        <is>
          <t>P06</t>
        </is>
      </c>
      <c r="B64" s="4" t="n">
        <v>11</v>
      </c>
      <c r="C64" s="4" t="inlineStr">
        <is>
          <t>Australia: excluded, outside the pilot region</t>
        </is>
      </c>
      <c r="D64" s="4" t="inlineStr">
        <is>
          <t>None</t>
        </is>
      </c>
      <c r="E64" s="4" t="inlineStr"/>
      <c r="F64" s="4" t="inlineStr">
        <is>
          <t>Not in the list: account excluded (Outside the pilot region (Australia))</t>
        </is>
      </c>
      <c r="G64" s="4" t="inlineStr">
        <is>
          <t>Primary</t>
        </is>
      </c>
      <c r="H64" s="4" t="inlineStr">
        <is>
          <t>email and LinkedIn</t>
        </is>
      </c>
      <c r="I64" s="5" t="inlineStr">
        <is>
          <t>Not run</t>
        </is>
      </c>
      <c r="J64" s="5" t="inlineStr"/>
    </row>
    <row r="65">
      <c r="A65" s="4" t="inlineStr">
        <is>
          <t>P06</t>
        </is>
      </c>
      <c r="B65" s="4" t="n">
        <v>12</v>
      </c>
      <c r="C65" s="4" t="inlineStr">
        <is>
          <t>No country: flagged and excluded</t>
        </is>
      </c>
      <c r="D65" s="4" t="inlineStr">
        <is>
          <t>country: D3 Country is missing</t>
        </is>
      </c>
      <c r="E65" s="4" t="inlineStr"/>
      <c r="F65" s="4" t="inlineStr">
        <is>
          <t>Not in the list: account excluded (Outside the pilot region (no country))</t>
        </is>
      </c>
      <c r="G65" s="4" t="inlineStr">
        <is>
          <t>Primary</t>
        </is>
      </c>
      <c r="H65" s="4" t="inlineStr">
        <is>
          <t>email and LinkedIn</t>
        </is>
      </c>
      <c r="I65" s="5" t="inlineStr">
        <is>
          <t>Not run</t>
        </is>
      </c>
      <c r="J65" s="5" t="inlineStr"/>
    </row>
    <row r="66">
      <c r="A66" s="6" t="inlineStr">
        <is>
          <t>P07</t>
        </is>
      </c>
      <c r="B66" s="6" t="n">
        <v>2</v>
      </c>
      <c r="C66" s="6" t="inlineStr">
        <is>
          <t>Managed separately Y: excluded</t>
        </is>
      </c>
      <c r="D66" s="6" t="inlineStr">
        <is>
          <t>None</t>
        </is>
      </c>
      <c r="E66" s="6" t="inlineStr"/>
      <c r="F66" s="6" t="inlineStr">
        <is>
          <t>Not in the list: account excluded (Managed separately by Client)</t>
        </is>
      </c>
      <c r="G66" s="6" t="inlineStr">
        <is>
          <t>Primary</t>
        </is>
      </c>
      <c r="H66" s="6" t="inlineStr">
        <is>
          <t>email and LinkedIn</t>
        </is>
      </c>
      <c r="I66" s="7" t="inlineStr">
        <is>
          <t>Not run</t>
        </is>
      </c>
      <c r="J66" s="7" t="inlineStr"/>
    </row>
    <row r="67">
      <c r="A67" s="6" t="inlineStr">
        <is>
          <t>P07</t>
        </is>
      </c>
      <c r="B67" s="6" t="n">
        <v>3</v>
      </c>
      <c r="C67" s="6" t="inlineStr">
        <is>
          <t>Managed separately N: passes</t>
        </is>
      </c>
      <c r="D67" s="6" t="inlineStr">
        <is>
          <t>None</t>
        </is>
      </c>
      <c r="E67" s="6" t="inlineStr"/>
      <c r="F67" s="6" t="inlineStr">
        <is>
          <t>In the final list</t>
        </is>
      </c>
      <c r="G67" s="6" t="inlineStr">
        <is>
          <t>Primary</t>
        </is>
      </c>
      <c r="H67" s="6" t="inlineStr">
        <is>
          <t>email and LinkedIn</t>
        </is>
      </c>
      <c r="I67" s="7" t="inlineStr">
        <is>
          <t>Not run</t>
        </is>
      </c>
      <c r="J67" s="7" t="inlineStr"/>
    </row>
    <row r="68">
      <c r="A68" s="6" t="inlineStr">
        <is>
          <t>P07</t>
        </is>
      </c>
      <c r="B68" s="6" t="n">
        <v>4</v>
      </c>
      <c r="C68" s="6" t="inlineStr">
        <is>
          <t>Managed separately blank: flagged, treated as N, passes</t>
        </is>
      </c>
      <c r="D68" s="6" t="inlineStr">
        <is>
          <t>managed_separately: D3 managed_separately is blank</t>
        </is>
      </c>
      <c r="E68" s="6" t="inlineStr"/>
      <c r="F68" s="6" t="inlineStr">
        <is>
          <t>In the final list</t>
        </is>
      </c>
      <c r="G68" s="6" t="inlineStr">
        <is>
          <t>Primary</t>
        </is>
      </c>
      <c r="H68" s="6" t="inlineStr">
        <is>
          <t>email and LinkedIn</t>
        </is>
      </c>
      <c r="I68" s="7" t="inlineStr">
        <is>
          <t>Not run</t>
        </is>
      </c>
      <c r="J68" s="7" t="inlineStr"/>
    </row>
    <row r="69">
      <c r="A69" s="6" t="inlineStr">
        <is>
          <t>P07</t>
        </is>
      </c>
      <c r="B69" s="6" t="n">
        <v>5</v>
      </c>
      <c r="C69" s="6" t="inlineStr">
        <is>
          <t>Managed separately "X": flagged, treated as N</t>
        </is>
      </c>
      <c r="D69" s="6" t="inlineStr">
        <is>
          <t>managed_separately: D3 "X" isn't Y or N</t>
        </is>
      </c>
      <c r="E69" s="6" t="inlineStr"/>
      <c r="F69" s="6" t="inlineStr">
        <is>
          <t>In the final list</t>
        </is>
      </c>
      <c r="G69" s="6" t="inlineStr">
        <is>
          <t>Primary</t>
        </is>
      </c>
      <c r="H69" s="6" t="inlineStr">
        <is>
          <t>email and LinkedIn</t>
        </is>
      </c>
      <c r="I69" s="7" t="inlineStr">
        <is>
          <t>Not run</t>
        </is>
      </c>
      <c r="J69" s="7" t="inlineStr"/>
    </row>
    <row r="70">
      <c r="A70" s="6" t="inlineStr">
        <is>
          <t>P07</t>
        </is>
      </c>
      <c r="B70" s="6" t="n">
        <v>6</v>
      </c>
      <c r="C70" s="6" t="inlineStr">
        <is>
          <t>Existing customer Y: relationship scores full in fit</t>
        </is>
      </c>
      <c r="D70" s="6" t="inlineStr">
        <is>
          <t>None</t>
        </is>
      </c>
      <c r="E70" s="6" t="inlineStr"/>
      <c r="F70" s="6" t="inlineStr">
        <is>
          <t>In the final list</t>
        </is>
      </c>
      <c r="G70" s="6" t="inlineStr">
        <is>
          <t>Primary</t>
        </is>
      </c>
      <c r="H70" s="6" t="inlineStr">
        <is>
          <t>email and LinkedIn</t>
        </is>
      </c>
      <c r="I70" s="7" t="inlineStr">
        <is>
          <t>Not run</t>
        </is>
      </c>
      <c r="J70" s="7" t="inlineStr"/>
    </row>
    <row r="71">
      <c r="A71" s="6" t="inlineStr">
        <is>
          <t>P07</t>
        </is>
      </c>
      <c r="B71" s="6" t="n">
        <v>7</v>
      </c>
      <c r="C71" s="6" t="inlineStr">
        <is>
          <t>Existing customer "Yes": read as Y</t>
        </is>
      </c>
      <c r="D71" s="6" t="inlineStr">
        <is>
          <t>None</t>
        </is>
      </c>
      <c r="E71" s="6" t="inlineStr"/>
      <c r="F71" s="6" t="inlineStr">
        <is>
          <t>In the final list</t>
        </is>
      </c>
      <c r="G71" s="6" t="inlineStr">
        <is>
          <t>Primary</t>
        </is>
      </c>
      <c r="H71" s="6" t="inlineStr">
        <is>
          <t>email and LinkedIn</t>
        </is>
      </c>
      <c r="I71" s="7" t="inlineStr">
        <is>
          <t>Not run</t>
        </is>
      </c>
      <c r="J71" s="7" t="inlineStr"/>
    </row>
    <row r="72">
      <c r="A72" s="6" t="inlineStr">
        <is>
          <t>P07</t>
        </is>
      </c>
      <c r="B72" s="6" t="n">
        <v>8</v>
      </c>
      <c r="C72" s="6" t="inlineStr">
        <is>
          <t>Existing customer blank: flagged, treated as N</t>
        </is>
      </c>
      <c r="D72" s="6" t="inlineStr">
        <is>
          <t>existing_customer: D3 existing_customer is blank</t>
        </is>
      </c>
      <c r="E72" s="6" t="inlineStr"/>
      <c r="F72" s="6" t="inlineStr">
        <is>
          <t>In the final list</t>
        </is>
      </c>
      <c r="G72" s="6" t="inlineStr">
        <is>
          <t>Primary</t>
        </is>
      </c>
      <c r="H72" s="6" t="inlineStr">
        <is>
          <t>email and LinkedIn</t>
        </is>
      </c>
      <c r="I72" s="7" t="inlineStr">
        <is>
          <t>Not run</t>
        </is>
      </c>
      <c r="J72" s="7" t="inlineStr"/>
    </row>
    <row r="73">
      <c r="A73" s="6" t="inlineStr">
        <is>
          <t>P07</t>
        </is>
      </c>
      <c r="B73" s="6" t="n">
        <v>9</v>
      </c>
      <c r="C73" s="6" t="inlineStr">
        <is>
          <t>Existing customer "maybe": flagged, treated as N</t>
        </is>
      </c>
      <c r="D73" s="6" t="inlineStr">
        <is>
          <t>existing_customer: D3 "maybe" isn't Y or N</t>
        </is>
      </c>
      <c r="E73" s="6" t="inlineStr"/>
      <c r="F73" s="6" t="inlineStr">
        <is>
          <t>In the final list</t>
        </is>
      </c>
      <c r="G73" s="6" t="inlineStr">
        <is>
          <t>Primary</t>
        </is>
      </c>
      <c r="H73" s="6" t="inlineStr">
        <is>
          <t>email and LinkedIn</t>
        </is>
      </c>
      <c r="I73" s="7" t="inlineStr">
        <is>
          <t>Not run</t>
        </is>
      </c>
      <c r="J73" s="7" t="inlineStr"/>
    </row>
    <row r="74">
      <c r="A74" s="4" t="inlineStr">
        <is>
          <t>P08</t>
        </is>
      </c>
      <c r="B74" s="4" t="n">
        <v>2</v>
      </c>
      <c r="C74" s="4" t="inlineStr">
        <is>
          <t>Plain number: read as is</t>
        </is>
      </c>
      <c r="D74" s="4" t="inlineStr">
        <is>
          <t>None</t>
        </is>
      </c>
      <c r="E74" s="4" t="inlineStr"/>
      <c r="F74" s="4" t="inlineStr">
        <is>
          <t>In the final list</t>
        </is>
      </c>
      <c r="G74" s="4" t="inlineStr">
        <is>
          <t>Primary</t>
        </is>
      </c>
      <c r="H74" s="4" t="inlineStr">
        <is>
          <t>email and LinkedIn</t>
        </is>
      </c>
      <c r="I74" s="5" t="inlineStr">
        <is>
          <t>Not run</t>
        </is>
      </c>
      <c r="J74" s="5" t="inlineStr"/>
    </row>
    <row r="75">
      <c r="A75" s="4" t="inlineStr">
        <is>
          <t>P08</t>
        </is>
      </c>
      <c r="B75" s="4" t="n">
        <v>3</v>
      </c>
      <c r="C75" s="4" t="inlineStr">
        <is>
          <t>Commas: flagged, read as 2400000000</t>
        </is>
      </c>
      <c r="D75" s="4" t="inlineStr">
        <is>
          <t>annual_revenue_usd: D3 "2,400,000,000" has commas or a currency symbol</t>
        </is>
      </c>
      <c r="E75" s="4" t="inlineStr"/>
      <c r="F75" s="4" t="inlineStr">
        <is>
          <t>In the final list</t>
        </is>
      </c>
      <c r="G75" s="4" t="inlineStr">
        <is>
          <t>Primary</t>
        </is>
      </c>
      <c r="H75" s="4" t="inlineStr">
        <is>
          <t>email and LinkedIn</t>
        </is>
      </c>
      <c r="I75" s="5" t="inlineStr">
        <is>
          <t>Not run</t>
        </is>
      </c>
      <c r="J75" s="5" t="inlineStr"/>
    </row>
    <row r="76">
      <c r="A76" s="4" t="inlineStr">
        <is>
          <t>P08</t>
        </is>
      </c>
      <c r="B76" s="4" t="n">
        <v>4</v>
      </c>
      <c r="C76" s="4" t="inlineStr">
        <is>
          <t>Dollar sign: flagged, read as a number</t>
        </is>
      </c>
      <c r="D76" s="4" t="inlineStr">
        <is>
          <t>annual_revenue_usd: D3 "$2400000000" has commas or a currency symbol</t>
        </is>
      </c>
      <c r="E76" s="4" t="inlineStr"/>
      <c r="F76" s="4" t="inlineStr">
        <is>
          <t>In the final list</t>
        </is>
      </c>
      <c r="G76" s="4" t="inlineStr">
        <is>
          <t>Primary</t>
        </is>
      </c>
      <c r="H76" s="4" t="inlineStr">
        <is>
          <t>email and LinkedIn</t>
        </is>
      </c>
      <c r="I76" s="5" t="inlineStr">
        <is>
          <t>Not run</t>
        </is>
      </c>
      <c r="J76" s="5" t="inlineStr"/>
    </row>
    <row r="77">
      <c r="A77" s="4" t="inlineStr">
        <is>
          <t>P08</t>
        </is>
      </c>
      <c r="B77" s="4" t="n">
        <v>5</v>
      </c>
      <c r="C77" s="4" t="inlineStr">
        <is>
          <t>"USD" prefix: flagged, read as a number</t>
        </is>
      </c>
      <c r="D77" s="4" t="inlineStr">
        <is>
          <t>annual_revenue_usd: D3 "USD 900000000" has commas or a currency symbol</t>
        </is>
      </c>
      <c r="E77" s="4" t="inlineStr"/>
      <c r="F77" s="4" t="inlineStr">
        <is>
          <t>In the final list</t>
        </is>
      </c>
      <c r="G77" s="4" t="inlineStr">
        <is>
          <t>Primary</t>
        </is>
      </c>
      <c r="H77" s="4" t="inlineStr">
        <is>
          <t>email and LinkedIn</t>
        </is>
      </c>
      <c r="I77" s="5" t="inlineStr">
        <is>
          <t>Not run</t>
        </is>
      </c>
      <c r="J77" s="5" t="inlineStr"/>
    </row>
    <row r="78">
      <c r="A78" s="4" t="inlineStr">
        <is>
          <t>P08</t>
        </is>
      </c>
      <c r="B78" s="4" t="n">
        <v>6</v>
      </c>
      <c r="C78" s="4" t="inlineStr">
        <is>
          <t>"2.4bn": not a number, treated as not given; headcount used</t>
        </is>
      </c>
      <c r="D78" s="4" t="inlineStr">
        <is>
          <t>annual_revenue_usd: D3 "2.4bn" isn't a number</t>
        </is>
      </c>
      <c r="E78" s="4" t="inlineStr"/>
      <c r="F78" s="4" t="inlineStr">
        <is>
          <t>In the final list</t>
        </is>
      </c>
      <c r="G78" s="4" t="inlineStr">
        <is>
          <t>Primary</t>
        </is>
      </c>
      <c r="H78" s="4" t="inlineStr">
        <is>
          <t>email and LinkedIn</t>
        </is>
      </c>
      <c r="I78" s="5" t="inlineStr">
        <is>
          <t>Not run</t>
        </is>
      </c>
      <c r="J78" s="5" t="inlineStr"/>
    </row>
    <row r="79">
      <c r="A79" s="4" t="inlineStr">
        <is>
          <t>P08</t>
        </is>
      </c>
      <c r="B79" s="4" t="n">
        <v>7</v>
      </c>
      <c r="C79" s="4" t="inlineStr">
        <is>
          <t>No revenue, 3,500 employees: size from headcount</t>
        </is>
      </c>
      <c r="D79" s="4" t="inlineStr">
        <is>
          <t>None</t>
        </is>
      </c>
      <c r="E79" s="4" t="inlineStr"/>
      <c r="F79" s="4" t="inlineStr">
        <is>
          <t>In the final list</t>
        </is>
      </c>
      <c r="G79" s="4" t="inlineStr">
        <is>
          <t>Primary</t>
        </is>
      </c>
      <c r="H79" s="4" t="inlineStr">
        <is>
          <t>email and LinkedIn</t>
        </is>
      </c>
      <c r="I79" s="5" t="inlineStr">
        <is>
          <t>Not run</t>
        </is>
      </c>
      <c r="J79" s="5" t="inlineStr"/>
    </row>
    <row r="80">
      <c r="A80" s="4" t="inlineStr">
        <is>
          <t>P08</t>
        </is>
      </c>
      <c r="B80" s="4" t="n">
        <v>8</v>
      </c>
      <c r="C80" s="4" t="inlineStr">
        <is>
          <t>Headcount with a comma: flagged, read as 1200</t>
        </is>
      </c>
      <c r="D80" s="4" t="inlineStr">
        <is>
          <t>employee_count: D3 "1,200" has commas or a currency symbol</t>
        </is>
      </c>
      <c r="E80" s="4" t="inlineStr"/>
      <c r="F80" s="4" t="inlineStr">
        <is>
          <t>In the final list</t>
        </is>
      </c>
      <c r="G80" s="4" t="inlineStr">
        <is>
          <t>Primary</t>
        </is>
      </c>
      <c r="H80" s="4" t="inlineStr">
        <is>
          <t>email and LinkedIn</t>
        </is>
      </c>
      <c r="I80" s="5" t="inlineStr">
        <is>
          <t>Not run</t>
        </is>
      </c>
      <c r="J80" s="5" t="inlineStr"/>
    </row>
    <row r="81">
      <c r="A81" s="4" t="inlineStr">
        <is>
          <t>P08</t>
        </is>
      </c>
      <c r="B81" s="4" t="n">
        <v>9</v>
      </c>
      <c r="C81" s="4" t="inlineStr">
        <is>
          <t>No size at all: flagged, size scores 0 in fit</t>
        </is>
      </c>
      <c r="D81" s="4" t="inlineStr">
        <is>
          <t>annual_revenue_usd / employee_count: D3 No company size</t>
        </is>
      </c>
      <c r="E81" s="4" t="inlineStr"/>
      <c r="F81" s="4" t="inlineStr">
        <is>
          <t>In the final list</t>
        </is>
      </c>
      <c r="G81" s="4" t="inlineStr">
        <is>
          <t>Primary</t>
        </is>
      </c>
      <c r="H81" s="4" t="inlineStr">
        <is>
          <t>email and LinkedIn</t>
        </is>
      </c>
      <c r="I81" s="5" t="inlineStr">
        <is>
          <t>Not run</t>
        </is>
      </c>
      <c r="J81" s="5" t="inlineStr"/>
    </row>
    <row r="82">
      <c r="A82" s="4" t="inlineStr">
        <is>
          <t>P08</t>
        </is>
      </c>
      <c r="B82" s="4" t="n">
        <v>10</v>
      </c>
      <c r="C82" s="4" t="inlineStr">
        <is>
          <t>"n/a" in both: flagged as not numbers</t>
        </is>
      </c>
      <c r="D82" s="4" t="inlineStr">
        <is>
          <t>annual_revenue_usd: D3 "n/a" isn't a number
employee_count: D3 "n/a" isn't a number</t>
        </is>
      </c>
      <c r="E82" s="4" t="inlineStr"/>
      <c r="F82" s="4" t="inlineStr">
        <is>
          <t>In the final list</t>
        </is>
      </c>
      <c r="G82" s="4" t="inlineStr">
        <is>
          <t>Primary</t>
        </is>
      </c>
      <c r="H82" s="4" t="inlineStr">
        <is>
          <t>email and LinkedIn</t>
        </is>
      </c>
      <c r="I82" s="5" t="inlineStr">
        <is>
          <t>Not run</t>
        </is>
      </c>
      <c r="J82" s="5" t="inlineStr"/>
    </row>
    <row r="83">
      <c r="A83" s="6" t="inlineStr">
        <is>
          <t>P09</t>
        </is>
      </c>
      <c r="B83" s="6" t="n">
        <v>2</v>
      </c>
      <c r="C83" s="6" t="inlineStr">
        <is>
          <t>Owner-operator: full points</t>
        </is>
      </c>
      <c r="D83" s="6" t="inlineStr">
        <is>
          <t>None</t>
        </is>
      </c>
      <c r="E83" s="6" t="inlineStr"/>
      <c r="F83" s="6" t="inlineStr">
        <is>
          <t>In the final list</t>
        </is>
      </c>
      <c r="G83" s="6" t="inlineStr">
        <is>
          <t>Primary</t>
        </is>
      </c>
      <c r="H83" s="6" t="inlineStr">
        <is>
          <t>email and LinkedIn</t>
        </is>
      </c>
      <c r="I83" s="7" t="inlineStr">
        <is>
          <t>Not run</t>
        </is>
      </c>
      <c r="J83" s="7" t="inlineStr"/>
    </row>
    <row r="84">
      <c r="A84" s="6" t="inlineStr">
        <is>
          <t>P09</t>
        </is>
      </c>
      <c r="B84" s="6" t="n">
        <v>3</v>
      </c>
      <c r="C84" s="6" t="inlineStr">
        <is>
          <t>EPC contractor</t>
        </is>
      </c>
      <c r="D84" s="6" t="inlineStr">
        <is>
          <t>None</t>
        </is>
      </c>
      <c r="E84" s="6" t="inlineStr"/>
      <c r="F84" s="6" t="inlineStr">
        <is>
          <t>In the final list</t>
        </is>
      </c>
      <c r="G84" s="6" t="inlineStr">
        <is>
          <t>Primary</t>
        </is>
      </c>
      <c r="H84" s="6" t="inlineStr">
        <is>
          <t>email and LinkedIn</t>
        </is>
      </c>
      <c r="I84" s="7" t="inlineStr">
        <is>
          <t>Not run</t>
        </is>
      </c>
      <c r="J84" s="7" t="inlineStr"/>
    </row>
    <row r="85">
      <c r="A85" s="6" t="inlineStr">
        <is>
          <t>P09</t>
        </is>
      </c>
      <c r="B85" s="6" t="n">
        <v>4</v>
      </c>
      <c r="C85" s="6" t="inlineStr">
        <is>
          <t>System integrator</t>
        </is>
      </c>
      <c r="D85" s="6" t="inlineStr">
        <is>
          <t>None</t>
        </is>
      </c>
      <c r="E85" s="6" t="inlineStr"/>
      <c r="F85" s="6" t="inlineStr">
        <is>
          <t>In the final list</t>
        </is>
      </c>
      <c r="G85" s="6" t="inlineStr">
        <is>
          <t>Primary</t>
        </is>
      </c>
      <c r="H85" s="6" t="inlineStr">
        <is>
          <t>email and LinkedIn</t>
        </is>
      </c>
      <c r="I85" s="7" t="inlineStr">
        <is>
          <t>Not run</t>
        </is>
      </c>
      <c r="J85" s="7" t="inlineStr"/>
    </row>
    <row r="86">
      <c r="A86" s="6" t="inlineStr">
        <is>
          <t>P09</t>
        </is>
      </c>
      <c r="B86" s="6" t="n">
        <v>5</v>
      </c>
      <c r="C86" s="6" t="inlineStr">
        <is>
          <t>Distributor</t>
        </is>
      </c>
      <c r="D86" s="6" t="inlineStr">
        <is>
          <t>None</t>
        </is>
      </c>
      <c r="E86" s="6" t="inlineStr"/>
      <c r="F86" s="6" t="inlineStr">
        <is>
          <t>In the final list</t>
        </is>
      </c>
      <c r="G86" s="6" t="inlineStr">
        <is>
          <t>Primary</t>
        </is>
      </c>
      <c r="H86" s="6" t="inlineStr">
        <is>
          <t>email and LinkedIn</t>
        </is>
      </c>
      <c r="I86" s="7" t="inlineStr">
        <is>
          <t>Not run</t>
        </is>
      </c>
      <c r="J86" s="7" t="inlineStr"/>
    </row>
    <row r="87">
      <c r="A87" s="6" t="inlineStr">
        <is>
          <t>P09</t>
        </is>
      </c>
      <c r="B87" s="6" t="n">
        <v>6</v>
      </c>
      <c r="C87" s="6" t="inlineStr">
        <is>
          <t>Other: 0 points</t>
        </is>
      </c>
      <c r="D87" s="6" t="inlineStr">
        <is>
          <t>None</t>
        </is>
      </c>
      <c r="E87" s="6" t="inlineStr"/>
      <c r="F87" s="6" t="inlineStr">
        <is>
          <t>In the final list</t>
        </is>
      </c>
      <c r="G87" s="6" t="inlineStr">
        <is>
          <t>Primary</t>
        </is>
      </c>
      <c r="H87" s="6" t="inlineStr">
        <is>
          <t>email and LinkedIn</t>
        </is>
      </c>
      <c r="I87" s="7" t="inlineStr">
        <is>
          <t>Not run</t>
        </is>
      </c>
      <c r="J87" s="7" t="inlineStr"/>
    </row>
    <row r="88">
      <c r="A88" s="6" t="inlineStr">
        <is>
          <t>P09</t>
        </is>
      </c>
      <c r="B88" s="6" t="n">
        <v>7</v>
      </c>
      <c r="C88" s="6" t="inlineStr">
        <is>
          <t>Blank: noted, scores 0</t>
        </is>
      </c>
      <c r="D88" s="6" t="inlineStr">
        <is>
          <t>None</t>
        </is>
      </c>
      <c r="E88" s="6" t="inlineStr">
        <is>
          <t>account_type: Account type is blank</t>
        </is>
      </c>
      <c r="F88" s="6" t="inlineStr">
        <is>
          <t>In the final list</t>
        </is>
      </c>
      <c r="G88" s="6" t="inlineStr">
        <is>
          <t>Primary</t>
        </is>
      </c>
      <c r="H88" s="6" t="inlineStr">
        <is>
          <t>email and LinkedIn</t>
        </is>
      </c>
      <c r="I88" s="7" t="inlineStr">
        <is>
          <t>Not run</t>
        </is>
      </c>
      <c r="J88" s="7" t="inlineStr"/>
    </row>
    <row r="89">
      <c r="A89" s="6" t="inlineStr">
        <is>
          <t>P09</t>
        </is>
      </c>
      <c r="B89" s="6" t="n">
        <v>8</v>
      </c>
      <c r="C89" s="6" t="inlineStr">
        <is>
          <t>"Trader" is not on the list: flagged, treated as Other</t>
        </is>
      </c>
      <c r="D89" s="6" t="inlineStr">
        <is>
          <t>account_type: D3 "Trader" isn't on the list</t>
        </is>
      </c>
      <c r="E89" s="6" t="inlineStr"/>
      <c r="F89" s="6" t="inlineStr">
        <is>
          <t>In the final list</t>
        </is>
      </c>
      <c r="G89" s="6" t="inlineStr">
        <is>
          <t>Primary</t>
        </is>
      </c>
      <c r="H89" s="6" t="inlineStr">
        <is>
          <t>email and LinkedIn</t>
        </is>
      </c>
      <c r="I89" s="7" t="inlineStr">
        <is>
          <t>Not run</t>
        </is>
      </c>
      <c r="J89" s="7" t="inlineStr"/>
    </row>
    <row r="90">
      <c r="A90" s="6" t="inlineStr">
        <is>
          <t>P09</t>
        </is>
      </c>
      <c r="B90" s="6" t="n">
        <v>9</v>
      </c>
      <c r="C90" s="6" t="inlineStr">
        <is>
          <t>Lower case: accepted</t>
        </is>
      </c>
      <c r="D90" s="6" t="inlineStr">
        <is>
          <t>None</t>
        </is>
      </c>
      <c r="E90" s="6" t="inlineStr"/>
      <c r="F90" s="6" t="inlineStr">
        <is>
          <t>In the final list</t>
        </is>
      </c>
      <c r="G90" s="6" t="inlineStr">
        <is>
          <t>Primary</t>
        </is>
      </c>
      <c r="H90" s="6" t="inlineStr">
        <is>
          <t>email and LinkedIn</t>
        </is>
      </c>
      <c r="I90" s="7" t="inlineStr">
        <is>
          <t>Not run</t>
        </is>
      </c>
      <c r="J90" s="7" t="inlineStr"/>
    </row>
    <row r="91">
      <c r="A91" s="4" t="inlineStr">
        <is>
          <t>P10</t>
        </is>
      </c>
      <c r="B91" s="4" t="n">
        <v>2</v>
      </c>
      <c r="C91" s="4" t="inlineStr">
        <is>
          <t>Industry and site both say refining: Refining (core), high confidence</t>
        </is>
      </c>
      <c r="D91" s="4" t="inlineStr">
        <is>
          <t>None</t>
        </is>
      </c>
      <c r="E91" s="4" t="inlineStr"/>
      <c r="F91" s="4" t="inlineStr">
        <is>
          <t>In the final list</t>
        </is>
      </c>
      <c r="G91" s="4" t="inlineStr">
        <is>
          <t>Primary</t>
        </is>
      </c>
      <c r="H91" s="4" t="inlineStr">
        <is>
          <t>email and LinkedIn</t>
        </is>
      </c>
      <c r="I91" s="5" t="inlineStr">
        <is>
          <t>Not run</t>
        </is>
      </c>
      <c r="J91" s="5" t="inlineStr"/>
    </row>
    <row r="92">
      <c r="A92" s="4" t="inlineStr">
        <is>
          <t>P10</t>
        </is>
      </c>
      <c r="B92" s="4" t="n">
        <v>3</v>
      </c>
      <c r="C92" s="4" t="inlineStr">
        <is>
          <t>Petrochemicals, site not in the lookup: Petrochemicals (adjacent), from the industry</t>
        </is>
      </c>
      <c r="D92" s="4" t="inlineStr">
        <is>
          <t>None</t>
        </is>
      </c>
      <c r="E92" s="4" t="inlineStr"/>
      <c r="F92" s="4" t="inlineStr">
        <is>
          <t>In the final list</t>
        </is>
      </c>
      <c r="G92" s="4" t="inlineStr">
        <is>
          <t>Primary</t>
        </is>
      </c>
      <c r="H92" s="4" t="inlineStr">
        <is>
          <t>email and LinkedIn</t>
        </is>
      </c>
      <c r="I92" s="5" t="inlineStr">
        <is>
          <t>Not run</t>
        </is>
      </c>
      <c r="J92" s="5" t="inlineStr"/>
    </row>
    <row r="93">
      <c r="A93" s="4" t="inlineStr">
        <is>
          <t>P10</t>
        </is>
      </c>
      <c r="B93" s="4" t="n">
        <v>4</v>
      </c>
      <c r="C93" s="4" t="inlineStr">
        <is>
          <t>LNG: Gas processing (adjacent)</t>
        </is>
      </c>
      <c r="D93" s="4" t="inlineStr">
        <is>
          <t>None</t>
        </is>
      </c>
      <c r="E93" s="4" t="inlineStr"/>
      <c r="F93" s="4" t="inlineStr">
        <is>
          <t>In the final list</t>
        </is>
      </c>
      <c r="G93" s="4" t="inlineStr">
        <is>
          <t>Primary</t>
        </is>
      </c>
      <c r="H93" s="4" t="inlineStr">
        <is>
          <t>email and LinkedIn</t>
        </is>
      </c>
      <c r="I93" s="5" t="inlineStr">
        <is>
          <t>Not run</t>
        </is>
      </c>
      <c r="J93" s="5" t="inlineStr"/>
    </row>
    <row r="94">
      <c r="A94" s="4" t="inlineStr">
        <is>
          <t>P10</t>
        </is>
      </c>
      <c r="B94" s="4" t="n">
        <v>5</v>
      </c>
      <c r="C94" s="4" t="inlineStr">
        <is>
          <t>Gas processing (adjacent)</t>
        </is>
      </c>
      <c r="D94" s="4" t="inlineStr">
        <is>
          <t>None</t>
        </is>
      </c>
      <c r="E94" s="4" t="inlineStr"/>
      <c r="F94" s="4" t="inlineStr">
        <is>
          <t>In the final list</t>
        </is>
      </c>
      <c r="G94" s="4" t="inlineStr">
        <is>
          <t>Primary</t>
        </is>
      </c>
      <c r="H94" s="4" t="inlineStr">
        <is>
          <t>email and LinkedIn</t>
        </is>
      </c>
      <c r="I94" s="5" t="inlineStr">
        <is>
          <t>Not run</t>
        </is>
      </c>
      <c r="J94" s="5" t="inlineStr"/>
    </row>
    <row r="95">
      <c r="A95" s="4" t="inlineStr">
        <is>
          <t>P10</t>
        </is>
      </c>
      <c r="B95" s="4" t="n">
        <v>6</v>
      </c>
      <c r="C95" s="4" t="inlineStr">
        <is>
          <t>Not in the lookup: Other, held for a person to classify</t>
        </is>
      </c>
      <c r="D95" s="4" t="inlineStr">
        <is>
          <t>None</t>
        </is>
      </c>
      <c r="E95" s="4" t="inlineStr"/>
      <c r="F95" s="4" t="inlineStr">
        <is>
          <t>In the final list</t>
        </is>
      </c>
      <c r="G95" s="4" t="inlineStr">
        <is>
          <t>Primary</t>
        </is>
      </c>
      <c r="H95" s="4" t="inlineStr">
        <is>
          <t>email and LinkedIn</t>
        </is>
      </c>
      <c r="I95" s="5" t="inlineStr">
        <is>
          <t>Not run</t>
        </is>
      </c>
      <c r="J95" s="5" t="inlineStr"/>
    </row>
    <row r="96">
      <c r="A96" s="4" t="inlineStr">
        <is>
          <t>P10</t>
        </is>
      </c>
      <c r="B96" s="4" t="n">
        <v>7</v>
      </c>
      <c r="C96" s="4" t="inlineStr">
        <is>
          <t>No industry, refining site: flagged; Refining from the site</t>
        </is>
      </c>
      <c r="D96" s="4" t="inlineStr">
        <is>
          <t>industry: D3 Industry is missing</t>
        </is>
      </c>
      <c r="E96" s="4" t="inlineStr"/>
      <c r="F96" s="4" t="inlineStr">
        <is>
          <t>In the final list</t>
        </is>
      </c>
      <c r="G96" s="4" t="inlineStr">
        <is>
          <t>Primary</t>
        </is>
      </c>
      <c r="H96" s="4" t="inlineStr">
        <is>
          <t>email and LinkedIn</t>
        </is>
      </c>
      <c r="I96" s="5" t="inlineStr">
        <is>
          <t>Not run</t>
        </is>
      </c>
      <c r="J96" s="5" t="inlineStr"/>
    </row>
    <row r="97">
      <c r="A97" s="4" t="inlineStr">
        <is>
          <t>P10</t>
        </is>
      </c>
      <c r="B97" s="4" t="n">
        <v>8</v>
      </c>
      <c r="C97" s="4" t="inlineStr">
        <is>
          <t>Industry and site disagree: industry used, medium confidence</t>
        </is>
      </c>
      <c r="D97" s="4" t="inlineStr">
        <is>
          <t>None</t>
        </is>
      </c>
      <c r="E97" s="4" t="inlineStr"/>
      <c r="F97" s="4" t="inlineStr">
        <is>
          <t>In the final list</t>
        </is>
      </c>
      <c r="G97" s="4" t="inlineStr">
        <is>
          <t>Primary</t>
        </is>
      </c>
      <c r="H97" s="4" t="inlineStr">
        <is>
          <t>email and LinkedIn</t>
        </is>
      </c>
      <c r="I97" s="5" t="inlineStr">
        <is>
          <t>Not run</t>
        </is>
      </c>
      <c r="J97" s="5" t="inlineStr"/>
    </row>
    <row r="98">
      <c r="A98" s="4" t="inlineStr">
        <is>
          <t>P10</t>
        </is>
      </c>
      <c r="B98" s="4" t="n">
        <v>9</v>
      </c>
      <c r="C98" s="4" t="inlineStr">
        <is>
          <t>Specialty chemicals: Other, held for review</t>
        </is>
      </c>
      <c r="D98" s="4" t="inlineStr">
        <is>
          <t>None</t>
        </is>
      </c>
      <c r="E98" s="4" t="inlineStr"/>
      <c r="F98" s="4" t="inlineStr">
        <is>
          <t>In the final list</t>
        </is>
      </c>
      <c r="G98" s="4" t="inlineStr">
        <is>
          <t>Primary</t>
        </is>
      </c>
      <c r="H98" s="4" t="inlineStr">
        <is>
          <t>email and LinkedIn</t>
        </is>
      </c>
      <c r="I98" s="5" t="inlineStr">
        <is>
          <t>Not run</t>
        </is>
      </c>
      <c r="J98" s="5" t="inlineStr"/>
    </row>
    <row r="99">
      <c r="A99" s="6" t="inlineStr">
        <is>
          <t>P11</t>
        </is>
      </c>
      <c r="B99" s="6" t="n">
        <v>2</v>
      </c>
      <c r="C99" s="6" t="inlineStr">
        <is>
          <t>Primary</t>
        </is>
      </c>
      <c r="D99" s="6" t="inlineStr">
        <is>
          <t>None</t>
        </is>
      </c>
      <c r="E99" s="6" t="inlineStr"/>
      <c r="F99" s="6" t="inlineStr">
        <is>
          <t>In the final list</t>
        </is>
      </c>
      <c r="G99" s="6" t="inlineStr">
        <is>
          <t>Primary</t>
        </is>
      </c>
      <c r="H99" s="6" t="inlineStr">
        <is>
          <t>email and LinkedIn</t>
        </is>
      </c>
      <c r="I99" s="7" t="inlineStr">
        <is>
          <t>Not run</t>
        </is>
      </c>
      <c r="J99" s="7" t="inlineStr"/>
    </row>
    <row r="100">
      <c r="A100" s="6" t="inlineStr">
        <is>
          <t>P11</t>
        </is>
      </c>
      <c r="B100" s="6" t="n">
        <v>3</v>
      </c>
      <c r="C100" s="6" t="inlineStr">
        <is>
          <t>Primary</t>
        </is>
      </c>
      <c r="D100" s="6" t="inlineStr">
        <is>
          <t>None</t>
        </is>
      </c>
      <c r="E100" s="6" t="inlineStr"/>
      <c r="F100" s="6" t="inlineStr">
        <is>
          <t>In the final list</t>
        </is>
      </c>
      <c r="G100" s="6" t="inlineStr">
        <is>
          <t>Primary</t>
        </is>
      </c>
      <c r="H100" s="6" t="inlineStr">
        <is>
          <t>email and LinkedIn</t>
        </is>
      </c>
      <c r="I100" s="7" t="inlineStr">
        <is>
          <t>Not run</t>
        </is>
      </c>
      <c r="J100" s="7" t="inlineStr"/>
    </row>
    <row r="101">
      <c r="A101" s="6" t="inlineStr">
        <is>
          <t>P11</t>
        </is>
      </c>
      <c r="B101" s="6" t="n">
        <v>4</v>
      </c>
      <c r="C101" s="6" t="inlineStr">
        <is>
          <t>Primary</t>
        </is>
      </c>
      <c r="D101" s="6" t="inlineStr">
        <is>
          <t>None</t>
        </is>
      </c>
      <c r="E101" s="6" t="inlineStr"/>
      <c r="F101" s="6" t="inlineStr">
        <is>
          <t>In the final list</t>
        </is>
      </c>
      <c r="G101" s="6" t="inlineStr">
        <is>
          <t>Primary</t>
        </is>
      </c>
      <c r="H101" s="6" t="inlineStr">
        <is>
          <t>email and LinkedIn</t>
        </is>
      </c>
      <c r="I101" s="7" t="inlineStr">
        <is>
          <t>Not run</t>
        </is>
      </c>
      <c r="J101" s="7" t="inlineStr"/>
    </row>
    <row r="102">
      <c r="A102" s="6" t="inlineStr">
        <is>
          <t>P11</t>
        </is>
      </c>
      <c r="B102" s="6" t="n">
        <v>5</v>
      </c>
      <c r="C102" s="6" t="inlineStr">
        <is>
          <t>Primary</t>
        </is>
      </c>
      <c r="D102" s="6" t="inlineStr">
        <is>
          <t>None</t>
        </is>
      </c>
      <c r="E102" s="6" t="inlineStr"/>
      <c r="F102" s="6" t="inlineStr">
        <is>
          <t>In the final list</t>
        </is>
      </c>
      <c r="G102" s="6" t="inlineStr">
        <is>
          <t>Primary</t>
        </is>
      </c>
      <c r="H102" s="6" t="inlineStr">
        <is>
          <t>email and LinkedIn</t>
        </is>
      </c>
      <c r="I102" s="7" t="inlineStr">
        <is>
          <t>Not run</t>
        </is>
      </c>
      <c r="J102" s="7" t="inlineStr"/>
    </row>
    <row r="103">
      <c r="A103" s="6" t="inlineStr">
        <is>
          <t>P11</t>
        </is>
      </c>
      <c r="B103" s="6" t="n">
        <v>6</v>
      </c>
      <c r="C103" s="6" t="inlineStr">
        <is>
          <t>Primary</t>
        </is>
      </c>
      <c r="D103" s="6" t="inlineStr">
        <is>
          <t>None</t>
        </is>
      </c>
      <c r="E103" s="6" t="inlineStr"/>
      <c r="F103" s="6" t="inlineStr">
        <is>
          <t>In the final list</t>
        </is>
      </c>
      <c r="G103" s="6" t="inlineStr">
        <is>
          <t>Primary</t>
        </is>
      </c>
      <c r="H103" s="6" t="inlineStr">
        <is>
          <t>email and LinkedIn</t>
        </is>
      </c>
      <c r="I103" s="7" t="inlineStr">
        <is>
          <t>Not run</t>
        </is>
      </c>
      <c r="J103" s="7" t="inlineStr"/>
    </row>
    <row r="104">
      <c r="A104" s="6" t="inlineStr">
        <is>
          <t>P11</t>
        </is>
      </c>
      <c r="B104" s="6" t="n">
        <v>7</v>
      </c>
      <c r="C104" s="6" t="inlineStr">
        <is>
          <t>Primary</t>
        </is>
      </c>
      <c r="D104" s="6" t="inlineStr">
        <is>
          <t>None</t>
        </is>
      </c>
      <c r="E104" s="6" t="inlineStr"/>
      <c r="F104" s="6" t="inlineStr">
        <is>
          <t>In the final list</t>
        </is>
      </c>
      <c r="G104" s="6" t="inlineStr">
        <is>
          <t>Primary</t>
        </is>
      </c>
      <c r="H104" s="6" t="inlineStr">
        <is>
          <t>email and LinkedIn</t>
        </is>
      </c>
      <c r="I104" s="7" t="inlineStr">
        <is>
          <t>Not run</t>
        </is>
      </c>
      <c r="J104" s="7" t="inlineStr"/>
    </row>
    <row r="105">
      <c r="A105" s="6" t="inlineStr">
        <is>
          <t>P11</t>
        </is>
      </c>
      <c r="B105" s="6" t="n">
        <v>8</v>
      </c>
      <c r="C105" s="6" t="inlineStr">
        <is>
          <t>Secondary</t>
        </is>
      </c>
      <c r="D105" s="6" t="inlineStr">
        <is>
          <t>None</t>
        </is>
      </c>
      <c r="E105" s="6" t="inlineStr"/>
      <c r="F105" s="6" t="inlineStr">
        <is>
          <t>In the final list</t>
        </is>
      </c>
      <c r="G105" s="6" t="inlineStr">
        <is>
          <t>Secondary</t>
        </is>
      </c>
      <c r="H105" s="6" t="inlineStr">
        <is>
          <t>email and LinkedIn</t>
        </is>
      </c>
      <c r="I105" s="7" t="inlineStr">
        <is>
          <t>Not run</t>
        </is>
      </c>
      <c r="J105" s="7" t="inlineStr"/>
    </row>
    <row r="106">
      <c r="A106" s="6" t="inlineStr">
        <is>
          <t>P11</t>
        </is>
      </c>
      <c r="B106" s="6" t="n">
        <v>9</v>
      </c>
      <c r="C106" s="6" t="inlineStr">
        <is>
          <t>Secondary</t>
        </is>
      </c>
      <c r="D106" s="6" t="inlineStr">
        <is>
          <t>None</t>
        </is>
      </c>
      <c r="E106" s="6" t="inlineStr"/>
      <c r="F106" s="6" t="inlineStr">
        <is>
          <t>In the final list</t>
        </is>
      </c>
      <c r="G106" s="6" t="inlineStr">
        <is>
          <t>Secondary</t>
        </is>
      </c>
      <c r="H106" s="6" t="inlineStr">
        <is>
          <t>email and LinkedIn</t>
        </is>
      </c>
      <c r="I106" s="7" t="inlineStr">
        <is>
          <t>Not run</t>
        </is>
      </c>
      <c r="J106" s="7" t="inlineStr"/>
    </row>
    <row r="107">
      <c r="A107" s="6" t="inlineStr">
        <is>
          <t>P11</t>
        </is>
      </c>
      <c r="B107" s="6" t="n">
        <v>10</v>
      </c>
      <c r="C107" s="6" t="inlineStr">
        <is>
          <t>Secondary</t>
        </is>
      </c>
      <c r="D107" s="6" t="inlineStr">
        <is>
          <t>None</t>
        </is>
      </c>
      <c r="E107" s="6" t="inlineStr"/>
      <c r="F107" s="6" t="inlineStr">
        <is>
          <t>In the final list</t>
        </is>
      </c>
      <c r="G107" s="6" t="inlineStr">
        <is>
          <t>Secondary</t>
        </is>
      </c>
      <c r="H107" s="6" t="inlineStr">
        <is>
          <t>email and LinkedIn</t>
        </is>
      </c>
      <c r="I107" s="7" t="inlineStr">
        <is>
          <t>Not run</t>
        </is>
      </c>
      <c r="J107" s="7" t="inlineStr"/>
    </row>
    <row r="108">
      <c r="A108" s="6" t="inlineStr">
        <is>
          <t>P11</t>
        </is>
      </c>
      <c r="B108" s="6" t="n">
        <v>11</v>
      </c>
      <c r="C108" s="6" t="inlineStr">
        <is>
          <t>Secondary</t>
        </is>
      </c>
      <c r="D108" s="6" t="inlineStr">
        <is>
          <t>None</t>
        </is>
      </c>
      <c r="E108" s="6" t="inlineStr"/>
      <c r="F108" s="6" t="inlineStr">
        <is>
          <t>In the final list</t>
        </is>
      </c>
      <c r="G108" s="6" t="inlineStr">
        <is>
          <t>Secondary</t>
        </is>
      </c>
      <c r="H108" s="6" t="inlineStr">
        <is>
          <t>email and LinkedIn</t>
        </is>
      </c>
      <c r="I108" s="7" t="inlineStr">
        <is>
          <t>Not run</t>
        </is>
      </c>
      <c r="J108" s="7" t="inlineStr"/>
    </row>
    <row r="109">
      <c r="A109" s="6" t="inlineStr">
        <is>
          <t>P11</t>
        </is>
      </c>
      <c r="B109" s="6" t="n">
        <v>12</v>
      </c>
      <c r="C109" s="6" t="inlineStr">
        <is>
          <t>Secondary</t>
        </is>
      </c>
      <c r="D109" s="6" t="inlineStr">
        <is>
          <t>None</t>
        </is>
      </c>
      <c r="E109" s="6" t="inlineStr"/>
      <c r="F109" s="6" t="inlineStr">
        <is>
          <t>In the final list</t>
        </is>
      </c>
      <c r="G109" s="6" t="inlineStr">
        <is>
          <t>Secondary</t>
        </is>
      </c>
      <c r="H109" s="6" t="inlineStr">
        <is>
          <t>email and LinkedIn</t>
        </is>
      </c>
      <c r="I109" s="7" t="inlineStr">
        <is>
          <t>Not run</t>
        </is>
      </c>
      <c r="J109" s="7" t="inlineStr"/>
    </row>
    <row r="110">
      <c r="A110" s="6" t="inlineStr">
        <is>
          <t>P11</t>
        </is>
      </c>
      <c r="B110" s="6" t="n">
        <v>13</v>
      </c>
      <c r="C110" s="6" t="inlineStr">
        <is>
          <t>Secondary</t>
        </is>
      </c>
      <c r="D110" s="6" t="inlineStr">
        <is>
          <t>None</t>
        </is>
      </c>
      <c r="E110" s="6" t="inlineStr"/>
      <c r="F110" s="6" t="inlineStr">
        <is>
          <t>In the final list</t>
        </is>
      </c>
      <c r="G110" s="6" t="inlineStr">
        <is>
          <t>Secondary</t>
        </is>
      </c>
      <c r="H110" s="6" t="inlineStr">
        <is>
          <t>email and LinkedIn</t>
        </is>
      </c>
      <c r="I110" s="7" t="inlineStr">
        <is>
          <t>Not run</t>
        </is>
      </c>
      <c r="J110" s="7" t="inlineStr"/>
    </row>
    <row r="111">
      <c r="A111" s="6" t="inlineStr">
        <is>
          <t>P11</t>
        </is>
      </c>
      <c r="B111" s="6" t="n">
        <v>14</v>
      </c>
      <c r="C111" s="6" t="inlineStr">
        <is>
          <t>None</t>
        </is>
      </c>
      <c r="D111" s="6" t="inlineStr">
        <is>
          <t>None</t>
        </is>
      </c>
      <c r="E111" s="6" t="inlineStr"/>
      <c r="F111" s="6" t="inlineStr">
        <is>
          <t>In the final list</t>
        </is>
      </c>
      <c r="G111" s="6" t="inlineStr">
        <is>
          <t>None</t>
        </is>
      </c>
      <c r="H111" s="6" t="inlineStr">
        <is>
          <t>email and LinkedIn</t>
        </is>
      </c>
      <c r="I111" s="7" t="inlineStr">
        <is>
          <t>Not run</t>
        </is>
      </c>
      <c r="J111" s="7" t="inlineStr"/>
    </row>
    <row r="112">
      <c r="A112" s="6" t="inlineStr">
        <is>
          <t>P11</t>
        </is>
      </c>
      <c r="B112" s="6" t="n">
        <v>15</v>
      </c>
      <c r="C112" s="6" t="inlineStr">
        <is>
          <t>None</t>
        </is>
      </c>
      <c r="D112" s="6" t="inlineStr">
        <is>
          <t>None</t>
        </is>
      </c>
      <c r="E112" s="6" t="inlineStr"/>
      <c r="F112" s="6" t="inlineStr">
        <is>
          <t>In the final list</t>
        </is>
      </c>
      <c r="G112" s="6" t="inlineStr">
        <is>
          <t>None</t>
        </is>
      </c>
      <c r="H112" s="6" t="inlineStr">
        <is>
          <t>email and LinkedIn</t>
        </is>
      </c>
      <c r="I112" s="7" t="inlineStr">
        <is>
          <t>Not run</t>
        </is>
      </c>
      <c r="J112" s="7" t="inlineStr"/>
    </row>
    <row r="113">
      <c r="A113" s="6" t="inlineStr">
        <is>
          <t>P11</t>
        </is>
      </c>
      <c r="B113" s="6" t="n">
        <v>16</v>
      </c>
      <c r="C113" s="6" t="inlineStr">
        <is>
          <t>Blank title: flagged, persona none</t>
        </is>
      </c>
      <c r="D113" s="6" t="inlineStr">
        <is>
          <t>job_title: D3 Job title is missing</t>
        </is>
      </c>
      <c r="E113" s="6" t="inlineStr"/>
      <c r="F113" s="6" t="inlineStr">
        <is>
          <t>In the final list</t>
        </is>
      </c>
      <c r="G113" s="6" t="inlineStr">
        <is>
          <t>None</t>
        </is>
      </c>
      <c r="H113" s="6" t="inlineStr">
        <is>
          <t>email and LinkedIn</t>
        </is>
      </c>
      <c r="I113" s="7" t="inlineStr">
        <is>
          <t>Not run</t>
        </is>
      </c>
      <c r="J113" s="7" t="inlineStr"/>
    </row>
    <row r="114">
      <c r="A114" s="4" t="inlineStr">
        <is>
          <t>P12</t>
        </is>
      </c>
      <c r="B114" s="4" t="n">
        <v>2</v>
      </c>
      <c r="C114" s="4" t="inlineStr">
        <is>
          <t>Rep A: the demo Sales rep sees it</t>
        </is>
      </c>
      <c r="D114" s="4" t="inlineStr">
        <is>
          <t>None</t>
        </is>
      </c>
      <c r="E114" s="4" t="inlineStr"/>
      <c r="F114" s="4" t="inlineStr">
        <is>
          <t>In the final list</t>
        </is>
      </c>
      <c r="G114" s="4" t="inlineStr">
        <is>
          <t>Primary</t>
        </is>
      </c>
      <c r="H114" s="4" t="inlineStr">
        <is>
          <t>email and LinkedIn</t>
        </is>
      </c>
      <c r="I114" s="5" t="inlineStr">
        <is>
          <t>Not run</t>
        </is>
      </c>
      <c r="J114" s="5" t="inlineStr"/>
    </row>
    <row r="115">
      <c r="A115" s="4" t="inlineStr">
        <is>
          <t>P12</t>
        </is>
      </c>
      <c r="B115" s="4" t="n">
        <v>3</v>
      </c>
      <c r="C115" s="4" t="inlineStr">
        <is>
          <t>Rep B</t>
        </is>
      </c>
      <c r="D115" s="4" t="inlineStr">
        <is>
          <t>None</t>
        </is>
      </c>
      <c r="E115" s="4" t="inlineStr"/>
      <c r="F115" s="4" t="inlineStr">
        <is>
          <t>In the final list</t>
        </is>
      </c>
      <c r="G115" s="4" t="inlineStr">
        <is>
          <t>Primary</t>
        </is>
      </c>
      <c r="H115" s="4" t="inlineStr">
        <is>
          <t>email and LinkedIn</t>
        </is>
      </c>
      <c r="I115" s="5" t="inlineStr">
        <is>
          <t>Not run</t>
        </is>
      </c>
      <c r="J115" s="5" t="inlineStr"/>
    </row>
    <row r="116">
      <c r="A116" s="4" t="inlineStr">
        <is>
          <t>P12</t>
        </is>
      </c>
      <c r="B116" s="4" t="n">
        <v>4</v>
      </c>
      <c r="C116" s="4" t="inlineStr">
        <is>
          <t>Rep A in capitals: read as Rep A</t>
        </is>
      </c>
      <c r="D116" s="4" t="inlineStr">
        <is>
          <t>None</t>
        </is>
      </c>
      <c r="E116" s="4" t="inlineStr"/>
      <c r="F116" s="4" t="inlineStr">
        <is>
          <t>In the final list</t>
        </is>
      </c>
      <c r="G116" s="4" t="inlineStr">
        <is>
          <t>Primary</t>
        </is>
      </c>
      <c r="H116" s="4" t="inlineStr">
        <is>
          <t>email and LinkedIn</t>
        </is>
      </c>
      <c r="I116" s="5" t="inlineStr">
        <is>
          <t>Not run</t>
        </is>
      </c>
      <c r="J116" s="5" t="inlineStr"/>
    </row>
    <row r="117">
      <c r="A117" s="4" t="inlineStr">
        <is>
          <t>P12</t>
        </is>
      </c>
      <c r="B117" s="4" t="n">
        <v>5</v>
      </c>
      <c r="C117" s="4" t="inlineStr">
        <is>
          <t>No owner: flagged, only the sales manager sees it</t>
        </is>
      </c>
      <c r="D117" s="4" t="inlineStr">
        <is>
          <t>owner_email: D3 No owner rep</t>
        </is>
      </c>
      <c r="E117" s="4" t="inlineStr"/>
      <c r="F117" s="4" t="inlineStr">
        <is>
          <t>In the final list</t>
        </is>
      </c>
      <c r="G117" s="4" t="inlineStr">
        <is>
          <t>Primary</t>
        </is>
      </c>
      <c r="H117" s="4" t="inlineStr">
        <is>
          <t>email and LinkedIn</t>
        </is>
      </c>
      <c r="I117" s="5" t="inlineStr">
        <is>
          <t>Not run</t>
        </is>
      </c>
      <c r="J117" s="5" t="inlineStr"/>
    </row>
    <row r="118">
      <c r="A118" s="4" t="inlineStr">
        <is>
          <t>P12</t>
        </is>
      </c>
      <c r="B118" s="4" t="n">
        <v>6</v>
      </c>
      <c r="C118" s="4" t="inlineStr">
        <is>
          <t>A name, not an email: flagged</t>
        </is>
      </c>
      <c r="D118" s="4" t="inlineStr">
        <is>
          <t>owner_email: D3 Owner "rep a" isn't an email</t>
        </is>
      </c>
      <c r="E118" s="4" t="inlineStr"/>
      <c r="F118" s="4" t="inlineStr">
        <is>
          <t>In the final list</t>
        </is>
      </c>
      <c r="G118" s="4" t="inlineStr">
        <is>
          <t>Primary</t>
        </is>
      </c>
      <c r="H118" s="4" t="inlineStr">
        <is>
          <t>email and LinkedIn</t>
        </is>
      </c>
      <c r="I118" s="5" t="inlineStr">
        <is>
          <t>Not run</t>
        </is>
      </c>
      <c r="J118" s="5" t="inlineStr"/>
    </row>
    <row r="119">
      <c r="A119" s="4" t="inlineStr">
        <is>
          <t>P12</t>
        </is>
      </c>
      <c r="B119" s="4" t="n">
        <v>7</v>
      </c>
      <c r="C119" s="4" t="inlineStr">
        <is>
          <t>Email with no domain ending: flagged</t>
        </is>
      </c>
      <c r="D119" s="4" t="inlineStr">
        <is>
          <t>owner_email: D3 Owner "rep.a@client-sample" isn't an email</t>
        </is>
      </c>
      <c r="E119" s="4" t="inlineStr"/>
      <c r="F119" s="4" t="inlineStr">
        <is>
          <t>In the final list</t>
        </is>
      </c>
      <c r="G119" s="4" t="inlineStr">
        <is>
          <t>Primary</t>
        </is>
      </c>
      <c r="H119" s="4" t="inlineStr">
        <is>
          <t>email and LinkedIn</t>
        </is>
      </c>
      <c r="I119" s="5" t="inlineStr">
        <is>
          <t>Not run</t>
        </is>
      </c>
      <c r="J119" s="5" t="inlineStr"/>
    </row>
    <row r="120">
      <c r="A120" s="6" t="inlineStr">
        <is>
          <t>P13</t>
        </is>
      </c>
      <c r="B120" s="6" t="n">
        <v>2</v>
      </c>
      <c r="C120" s="6" t="inlineStr">
        <is>
          <t>First row: its details are used for the account</t>
        </is>
      </c>
      <c r="D120" s="6" t="inlineStr">
        <is>
          <t>None</t>
        </is>
      </c>
      <c r="E120" s="6" t="inlineStr"/>
      <c r="F120" s="6" t="inlineStr">
        <is>
          <t>In the final list</t>
        </is>
      </c>
      <c r="G120" s="6" t="inlineStr">
        <is>
          <t>Primary</t>
        </is>
      </c>
      <c r="H120" s="6" t="inlineStr">
        <is>
          <t>email and LinkedIn</t>
        </is>
      </c>
      <c r="I120" s="7" t="inlineStr">
        <is>
          <t>Not run</t>
        </is>
      </c>
      <c r="J120" s="7" t="inlineStr"/>
    </row>
    <row r="121">
      <c r="A121" s="6" t="inlineStr">
        <is>
          <t>P13</t>
        </is>
      </c>
      <c r="B121" s="6" t="n">
        <v>3</v>
      </c>
      <c r="C121" s="6" t="inlineStr">
        <is>
          <t>Different country: flagged</t>
        </is>
      </c>
      <c r="D121" s="6" t="inlineStr">
        <is>
          <t>country: D3 Differs from row 2 for Ridge Refining</t>
        </is>
      </c>
      <c r="E121" s="6" t="inlineStr"/>
      <c r="F121" s="6" t="inlineStr">
        <is>
          <t>In the final list</t>
        </is>
      </c>
      <c r="G121" s="6" t="inlineStr">
        <is>
          <t>Primary</t>
        </is>
      </c>
      <c r="H121" s="6" t="inlineStr">
        <is>
          <t>email and LinkedIn</t>
        </is>
      </c>
      <c r="I121" s="7" t="inlineStr">
        <is>
          <t>Not run</t>
        </is>
      </c>
      <c r="J121" s="7" t="inlineStr"/>
    </row>
    <row r="122">
      <c r="A122" s="6" t="inlineStr">
        <is>
          <t>P13</t>
        </is>
      </c>
      <c r="B122" s="6" t="n">
        <v>4</v>
      </c>
      <c r="C122" s="6" t="inlineStr">
        <is>
          <t>Different industry: flagged</t>
        </is>
      </c>
      <c r="D122" s="6" t="inlineStr">
        <is>
          <t>industry: D3 Differs from row 2 for Ridge Refining</t>
        </is>
      </c>
      <c r="E122" s="6" t="inlineStr"/>
      <c r="F122" s="6" t="inlineStr">
        <is>
          <t>In the final list</t>
        </is>
      </c>
      <c r="G122" s="6" t="inlineStr">
        <is>
          <t>Primary</t>
        </is>
      </c>
      <c r="H122" s="6" t="inlineStr">
        <is>
          <t>email and LinkedIn</t>
        </is>
      </c>
      <c r="I122" s="7" t="inlineStr">
        <is>
          <t>Not run</t>
        </is>
      </c>
      <c r="J122" s="7" t="inlineStr"/>
    </row>
    <row r="123">
      <c r="A123" s="6" t="inlineStr">
        <is>
          <t>P13</t>
        </is>
      </c>
      <c r="B123" s="6" t="n">
        <v>5</v>
      </c>
      <c r="C123" s="6" t="inlineStr">
        <is>
          <t>Different revenue and headcount: flagged twice</t>
        </is>
      </c>
      <c r="D123" s="6" t="inlineStr">
        <is>
          <t>annual_revenue_usd: D3 Differs from row 2 for Ridge Refining
employee_count: D3 Differs from row 2 for Ridge Refining</t>
        </is>
      </c>
      <c r="E123" s="6" t="inlineStr"/>
      <c r="F123" s="6" t="inlineStr">
        <is>
          <t>In the final list</t>
        </is>
      </c>
      <c r="G123" s="6" t="inlineStr">
        <is>
          <t>Primary</t>
        </is>
      </c>
      <c r="H123" s="6" t="inlineStr">
        <is>
          <t>email and LinkedIn</t>
        </is>
      </c>
      <c r="I123" s="7" t="inlineStr">
        <is>
          <t>Not run</t>
        </is>
      </c>
      <c r="J123" s="7" t="inlineStr"/>
    </row>
    <row r="124">
      <c r="A124" s="6" t="inlineStr">
        <is>
          <t>P13</t>
        </is>
      </c>
      <c r="B124" s="6" t="n">
        <v>6</v>
      </c>
      <c r="C124" s="6" t="inlineStr">
        <is>
          <t>Different account type: flagged</t>
        </is>
      </c>
      <c r="D124" s="6" t="inlineStr">
        <is>
          <t>account_type: D3 Differs from row 2 for Ridge Refining</t>
        </is>
      </c>
      <c r="E124" s="6" t="inlineStr"/>
      <c r="F124" s="6" t="inlineStr">
        <is>
          <t>In the final list</t>
        </is>
      </c>
      <c r="G124" s="6" t="inlineStr">
        <is>
          <t>Primary</t>
        </is>
      </c>
      <c r="H124" s="6" t="inlineStr">
        <is>
          <t>email and LinkedIn</t>
        </is>
      </c>
      <c r="I124" s="7" t="inlineStr">
        <is>
          <t>Not run</t>
        </is>
      </c>
      <c r="J124" s="7" t="inlineStr"/>
    </row>
    <row r="125">
      <c r="A125" s="6" t="inlineStr">
        <is>
          <t>P13</t>
        </is>
      </c>
      <c r="B125" s="6" t="n">
        <v>7</v>
      </c>
      <c r="C125" s="6" t="inlineStr">
        <is>
          <t>Different existing-customer flag: flagged</t>
        </is>
      </c>
      <c r="D125" s="6" t="inlineStr">
        <is>
          <t>existing_customer: D3 Differs from row 2 for Ridge Refining</t>
        </is>
      </c>
      <c r="E125" s="6" t="inlineStr"/>
      <c r="F125" s="6" t="inlineStr">
        <is>
          <t>In the final list</t>
        </is>
      </c>
      <c r="G125" s="6" t="inlineStr">
        <is>
          <t>Primary</t>
        </is>
      </c>
      <c r="H125" s="6" t="inlineStr">
        <is>
          <t>email and LinkedIn</t>
        </is>
      </c>
      <c r="I125" s="7" t="inlineStr">
        <is>
          <t>Not run</t>
        </is>
      </c>
      <c r="J125" s="7" t="inlineStr"/>
    </row>
    <row r="126">
      <c r="A126" s="6" t="inlineStr">
        <is>
          <t>P13</t>
        </is>
      </c>
      <c r="B126" s="6" t="n">
        <v>8</v>
      </c>
      <c r="C126" s="6" t="inlineStr">
        <is>
          <t>Company name in capitals with a double space: same account</t>
        </is>
      </c>
      <c r="D126" s="6" t="inlineStr">
        <is>
          <t>None</t>
        </is>
      </c>
      <c r="E126" s="6" t="inlineStr"/>
      <c r="F126" s="6" t="inlineStr">
        <is>
          <t>In the final list</t>
        </is>
      </c>
      <c r="G126" s="6" t="inlineStr">
        <is>
          <t>Primary</t>
        </is>
      </c>
      <c r="H126" s="6" t="inlineStr">
        <is>
          <t>email and LinkedIn</t>
        </is>
      </c>
      <c r="I126" s="7" t="inlineStr">
        <is>
          <t>Not run</t>
        </is>
      </c>
      <c r="J126" s="7" t="inlineStr"/>
    </row>
    <row r="127">
      <c r="A127" s="4" t="inlineStr">
        <is>
          <t>P14</t>
        </is>
      </c>
      <c r="B127" s="4" t="n">
        <v>2</v>
      </c>
      <c r="C127" s="4" t="inlineStr">
        <is>
          <t>Control: clean</t>
        </is>
      </c>
      <c r="D127" s="4" t="inlineStr">
        <is>
          <t>None</t>
        </is>
      </c>
      <c r="E127" s="4" t="inlineStr"/>
      <c r="F127" s="4" t="inlineStr">
        <is>
          <t>In the final list</t>
        </is>
      </c>
      <c r="G127" s="4" t="inlineStr">
        <is>
          <t>Primary</t>
        </is>
      </c>
      <c r="H127" s="4" t="inlineStr">
        <is>
          <t>email and LinkedIn</t>
        </is>
      </c>
      <c r="I127" s="5" t="inlineStr">
        <is>
          <t>Not run</t>
        </is>
      </c>
      <c r="J127" s="5" t="inlineStr"/>
    </row>
    <row r="128">
      <c r="A128" s="4" t="inlineStr">
        <is>
          <t>P14</t>
        </is>
      </c>
      <c r="B128" s="4" t="n">
        <v>3</v>
      </c>
      <c r="C128" s="4" t="inlineStr">
        <is>
          <t>No company name: row not loaded (stop)</t>
        </is>
      </c>
      <c r="D128" s="4" t="inlineStr">
        <is>
          <t>company_name: D3 Company name is missing</t>
        </is>
      </c>
      <c r="E128" s="4" t="inlineStr"/>
      <c r="F128" s="4" t="inlineStr">
        <is>
          <t>Not loaded</t>
        </is>
      </c>
      <c r="G128" s="4" t="inlineStr"/>
      <c r="H128" s="4" t="inlineStr"/>
      <c r="I128" s="5" t="inlineStr">
        <is>
          <t>Not run</t>
        </is>
      </c>
      <c r="J128" s="5" t="inlineStr"/>
    </row>
    <row r="129">
      <c r="A129" s="4" t="inlineStr">
        <is>
          <t>P14</t>
        </is>
      </c>
      <c r="B129" s="4" t="n">
        <v>4</v>
      </c>
      <c r="C129" s="4" t="inlineStr">
        <is>
          <t>No first name: loaded, flagged (draft greeting will need editing)</t>
        </is>
      </c>
      <c r="D129" s="4" t="inlineStr">
        <is>
          <t>first_name: D3 First name is missing</t>
        </is>
      </c>
      <c r="E129" s="4" t="inlineStr"/>
      <c r="F129" s="4" t="inlineStr">
        <is>
          <t>In the final list</t>
        </is>
      </c>
      <c r="G129" s="4" t="inlineStr">
        <is>
          <t>Primary</t>
        </is>
      </c>
      <c r="H129" s="4" t="inlineStr">
        <is>
          <t>email and LinkedIn</t>
        </is>
      </c>
      <c r="I129" s="5" t="inlineStr">
        <is>
          <t>Not run</t>
        </is>
      </c>
      <c r="J129" s="5" t="inlineStr"/>
    </row>
    <row r="130">
      <c r="A130" s="4" t="inlineStr">
        <is>
          <t>P14</t>
        </is>
      </c>
      <c r="B130" s="4" t="n">
        <v>5</v>
      </c>
      <c r="C130" s="4" t="inlineStr">
        <is>
          <t>No last name: loaded, flagged</t>
        </is>
      </c>
      <c r="D130" s="4" t="inlineStr">
        <is>
          <t>last_name: D3 Last name is missing</t>
        </is>
      </c>
      <c r="E130" s="4" t="inlineStr"/>
      <c r="F130" s="4" t="inlineStr">
        <is>
          <t>In the final list</t>
        </is>
      </c>
      <c r="G130" s="4" t="inlineStr">
        <is>
          <t>Primary</t>
        </is>
      </c>
      <c r="H130" s="4" t="inlineStr">
        <is>
          <t>email and LinkedIn</t>
        </is>
      </c>
      <c r="I130" s="5" t="inlineStr">
        <is>
          <t>Not run</t>
        </is>
      </c>
      <c r="J130" s="5" t="inlineStr"/>
    </row>
    <row r="131">
      <c r="A131" s="4" t="inlineStr">
        <is>
          <t>P14</t>
        </is>
      </c>
      <c r="B131" s="4" t="n">
        <v>6</v>
      </c>
      <c r="C131" s="4" t="inlineStr">
        <is>
          <t>No job title: flagged, persona none</t>
        </is>
      </c>
      <c r="D131" s="4" t="inlineStr">
        <is>
          <t>job_title: D3 Job title is missing</t>
        </is>
      </c>
      <c r="E131" s="4" t="inlineStr"/>
      <c r="F131" s="4" t="inlineStr">
        <is>
          <t>In the final list</t>
        </is>
      </c>
      <c r="G131" s="4" t="inlineStr">
        <is>
          <t>None</t>
        </is>
      </c>
      <c r="H131" s="4" t="inlineStr">
        <is>
          <t>email and LinkedIn</t>
        </is>
      </c>
      <c r="I131" s="5" t="inlineStr">
        <is>
          <t>Not run</t>
        </is>
      </c>
      <c r="J131" s="5" t="inlineStr"/>
    </row>
    <row r="132">
      <c r="A132" s="4" t="inlineStr">
        <is>
          <t>P14</t>
        </is>
      </c>
      <c r="B132" s="4" t="n">
        <v>7</v>
      </c>
      <c r="C132" s="4" t="inlineStr">
        <is>
          <t>No domain: flagged</t>
        </is>
      </c>
      <c r="D132" s="4" t="inlineStr">
        <is>
          <t>company_domain: D3 Company domain is missing</t>
        </is>
      </c>
      <c r="E132" s="4" t="inlineStr"/>
      <c r="F132" s="4" t="inlineStr">
        <is>
          <t>In the final list</t>
        </is>
      </c>
      <c r="G132" s="4" t="inlineStr">
        <is>
          <t>Primary</t>
        </is>
      </c>
      <c r="H132" s="4" t="inlineStr">
        <is>
          <t>email and LinkedIn</t>
        </is>
      </c>
      <c r="I132" s="5" t="inlineStr">
        <is>
          <t>Not run</t>
        </is>
      </c>
      <c r="J132" s="5" t="inlineStr"/>
    </row>
    <row r="133">
      <c r="A133" s="4" t="inlineStr">
        <is>
          <t>P14</t>
        </is>
      </c>
      <c r="B133" s="4" t="n">
        <v>8</v>
      </c>
      <c r="C133" s="4" t="inlineStr">
        <is>
          <t>Domain written as a web address: flagged</t>
        </is>
      </c>
      <c r="D133" s="4" t="inlineStr">
        <is>
          <t>company_domain: D3 Domain "https://www.uplandrefining.example" isn't in the form company.com</t>
        </is>
      </c>
      <c r="E133" s="4" t="inlineStr"/>
      <c r="F133" s="4" t="inlineStr">
        <is>
          <t>In the final list</t>
        </is>
      </c>
      <c r="G133" s="4" t="inlineStr">
        <is>
          <t>Primary</t>
        </is>
      </c>
      <c r="H133" s="4" t="inlineStr">
        <is>
          <t>email and LinkedIn</t>
        </is>
      </c>
      <c r="I133" s="5" t="inlineStr">
        <is>
          <t>Not run</t>
        </is>
      </c>
      <c r="J133" s="5" t="inlineStr"/>
    </row>
    <row r="134">
      <c r="A134" s="4" t="inlineStr">
        <is>
          <t>P14</t>
        </is>
      </c>
      <c r="B134" s="4" t="n">
        <v>9</v>
      </c>
      <c r="C134" s="4" t="inlineStr">
        <is>
          <t>Domain with no dot: flagged</t>
        </is>
      </c>
      <c r="D134" s="4" t="inlineStr">
        <is>
          <t>company_domain: D3 Domain "uplandrefining" isn't in the form company.com</t>
        </is>
      </c>
      <c r="E134" s="4" t="inlineStr"/>
      <c r="F134" s="4" t="inlineStr">
        <is>
          <t>In the final list</t>
        </is>
      </c>
      <c r="G134" s="4" t="inlineStr">
        <is>
          <t>Primary</t>
        </is>
      </c>
      <c r="H134" s="4" t="inlineStr">
        <is>
          <t>email and LinkedIn</t>
        </is>
      </c>
      <c r="I134" s="5" t="inlineStr">
        <is>
          <t>Not run</t>
        </is>
      </c>
      <c r="J134" s="5" t="inlineStr"/>
    </row>
    <row r="135">
      <c r="A135" s="6" t="inlineStr">
        <is>
          <t>P15</t>
        </is>
      </c>
      <c r="B135" s="6" t="n">
        <v>2</v>
      </c>
      <c r="C135" s="6" t="inlineStr">
        <is>
          <t>Row 1</t>
        </is>
      </c>
      <c r="D135" s="6" t="inlineStr">
        <is>
          <t>None</t>
        </is>
      </c>
      <c r="E135" s="6" t="inlineStr"/>
      <c r="F135" s="6" t="inlineStr">
        <is>
          <t>In the list, not contactable (no consent basis)</t>
        </is>
      </c>
      <c r="G135" s="6" t="inlineStr">
        <is>
          <t>Primary</t>
        </is>
      </c>
      <c r="H135" s="6" t="inlineStr">
        <is>
          <t>email and LinkedIn</t>
        </is>
      </c>
      <c r="I135" s="7" t="inlineStr">
        <is>
          <t>Not run</t>
        </is>
      </c>
      <c r="J135" s="7" t="inlineStr"/>
    </row>
    <row r="136">
      <c r="A136" s="6" t="inlineStr">
        <is>
          <t>P15</t>
        </is>
      </c>
      <c r="B136" s="6" t="n">
        <v>3</v>
      </c>
      <c r="C136" s="6" t="inlineStr">
        <is>
          <t>Row 2</t>
        </is>
      </c>
      <c r="D136" s="6" t="inlineStr">
        <is>
          <t>None</t>
        </is>
      </c>
      <c r="E136" s="6" t="inlineStr"/>
      <c r="F136" s="6" t="inlineStr">
        <is>
          <t>In the list, not contactable (no consent basis)</t>
        </is>
      </c>
      <c r="G136" s="6" t="inlineStr">
        <is>
          <t>Secondary</t>
        </is>
      </c>
      <c r="H136" s="6" t="inlineStr">
        <is>
          <t>email and LinkedIn</t>
        </is>
      </c>
      <c r="I136" s="7" t="inlineStr">
        <is>
          <t>Not run</t>
        </is>
      </c>
      <c r="J136" s="7" t="inlineStr"/>
    </row>
    <row r="137">
      <c r="A137" s="6" t="inlineStr">
        <is>
          <t>P15</t>
        </is>
      </c>
      <c r="B137" s="6" t="n">
        <v>4</v>
      </c>
      <c r="C137" s="6" t="inlineStr">
        <is>
          <t>Row 3</t>
        </is>
      </c>
      <c r="D137" s="6" t="inlineStr">
        <is>
          <t>None</t>
        </is>
      </c>
      <c r="E137" s="6" t="inlineStr"/>
      <c r="F137" s="6" t="inlineStr">
        <is>
          <t>In the list, not contactable (no consent basis)</t>
        </is>
      </c>
      <c r="G137" s="6" t="inlineStr">
        <is>
          <t>Primary</t>
        </is>
      </c>
      <c r="H137" s="6" t="inlineStr">
        <is>
          <t>email and LinkedIn</t>
        </is>
      </c>
      <c r="I137" s="7" t="inlineStr">
        <is>
          <t>Not run</t>
        </is>
      </c>
      <c r="J137" s="7" t="inlineStr"/>
    </row>
    <row r="138">
      <c r="A138" s="4" t="inlineStr">
        <is>
          <t>P16</t>
        </is>
      </c>
      <c r="B138" s="4" t="n">
        <v>2</v>
      </c>
      <c r="C138" s="4" t="inlineStr">
        <is>
          <t>Not read</t>
        </is>
      </c>
      <c r="D138" s="4" t="inlineStr">
        <is>
          <t>None</t>
        </is>
      </c>
      <c r="E138" s="4" t="inlineStr"/>
      <c r="F138" s="4" t="inlineStr">
        <is>
          <t>Not read</t>
        </is>
      </c>
      <c r="G138" s="4" t="inlineStr"/>
      <c r="H138" s="4" t="inlineStr"/>
      <c r="I138" s="5" t="inlineStr">
        <is>
          <t>Not run</t>
        </is>
      </c>
      <c r="J138" s="5" t="inlineStr"/>
    </row>
    <row r="139">
      <c r="A139" s="4" t="inlineStr">
        <is>
          <t>P16</t>
        </is>
      </c>
      <c r="B139" s="4" t="n">
        <v>3</v>
      </c>
      <c r="C139" s="4" t="inlineStr">
        <is>
          <t>Not read</t>
        </is>
      </c>
      <c r="D139" s="4" t="inlineStr">
        <is>
          <t>None</t>
        </is>
      </c>
      <c r="E139" s="4" t="inlineStr"/>
      <c r="F139" s="4" t="inlineStr">
        <is>
          <t>Not read</t>
        </is>
      </c>
      <c r="G139" s="4" t="inlineStr"/>
      <c r="H139" s="4" t="inlineStr"/>
      <c r="I139" s="5" t="inlineStr">
        <is>
          <t>Not run</t>
        </is>
      </c>
      <c r="J139" s="5" t="inlineStr"/>
    </row>
    <row r="140">
      <c r="A140" s="6" t="inlineStr">
        <is>
          <t>P17</t>
        </is>
      </c>
      <c r="B140" s="6" t="n">
        <v>4</v>
      </c>
      <c r="C140" s="6" t="inlineStr">
        <is>
          <t>Data row 1</t>
        </is>
      </c>
      <c r="D140" s="6" t="inlineStr">
        <is>
          <t>None</t>
        </is>
      </c>
      <c r="E140" s="6" t="inlineStr"/>
      <c r="F140" s="6" t="inlineStr">
        <is>
          <t>In the final list</t>
        </is>
      </c>
      <c r="G140" s="6" t="inlineStr">
        <is>
          <t>Primary</t>
        </is>
      </c>
      <c r="H140" s="6" t="inlineStr">
        <is>
          <t>email and LinkedIn</t>
        </is>
      </c>
      <c r="I140" s="7" t="inlineStr">
        <is>
          <t>Not run</t>
        </is>
      </c>
      <c r="J140" s="7" t="inlineStr"/>
    </row>
    <row r="141">
      <c r="A141" s="6" t="inlineStr">
        <is>
          <t>P17</t>
        </is>
      </c>
      <c r="B141" s="6" t="n">
        <v>5</v>
      </c>
      <c r="C141" s="6" t="inlineStr">
        <is>
          <t>Data row 2</t>
        </is>
      </c>
      <c r="D141" s="6" t="inlineStr">
        <is>
          <t>None</t>
        </is>
      </c>
      <c r="E141" s="6" t="inlineStr"/>
      <c r="F141" s="6" t="inlineStr">
        <is>
          <t>In the final list</t>
        </is>
      </c>
      <c r="G141" s="6" t="inlineStr">
        <is>
          <t>Secondary</t>
        </is>
      </c>
      <c r="H141" s="6" t="inlineStr">
        <is>
          <t>email and LinkedIn</t>
        </is>
      </c>
      <c r="I141" s="7" t="inlineStr">
        <is>
          <t>Not run</t>
        </is>
      </c>
      <c r="J141" s="7" t="inlineStr"/>
    </row>
    <row r="142">
      <c r="A142" s="4" t="inlineStr">
        <is>
          <t>P18</t>
        </is>
      </c>
      <c r="B142" s="4" t="n">
        <v>2</v>
      </c>
      <c r="C142" s="4" t="inlineStr">
        <is>
          <t>Data row 1</t>
        </is>
      </c>
      <c r="D142" s="4" t="inlineStr">
        <is>
          <t>None</t>
        </is>
      </c>
      <c r="E142" s="4" t="inlineStr"/>
      <c r="F142" s="4" t="inlineStr">
        <is>
          <t>In the final list</t>
        </is>
      </c>
      <c r="G142" s="4" t="inlineStr">
        <is>
          <t>Primary</t>
        </is>
      </c>
      <c r="H142" s="4" t="inlineStr">
        <is>
          <t>email and LinkedIn</t>
        </is>
      </c>
      <c r="I142" s="5" t="inlineStr">
        <is>
          <t>Not run</t>
        </is>
      </c>
      <c r="J142" s="5" t="inlineStr"/>
    </row>
    <row r="143">
      <c r="A143" s="4" t="inlineStr">
        <is>
          <t>P18</t>
        </is>
      </c>
      <c r="B143" s="4" t="n">
        <v>3</v>
      </c>
      <c r="C143" s="4" t="inlineStr">
        <is>
          <t>Data row 2</t>
        </is>
      </c>
      <c r="D143" s="4" t="inlineStr">
        <is>
          <t>None</t>
        </is>
      </c>
      <c r="E143" s="4" t="inlineStr"/>
      <c r="F143" s="4" t="inlineStr">
        <is>
          <t>In the final list</t>
        </is>
      </c>
      <c r="G143" s="4" t="inlineStr">
        <is>
          <t>Secondary</t>
        </is>
      </c>
      <c r="H143" s="4" t="inlineStr">
        <is>
          <t>email and LinkedIn</t>
        </is>
      </c>
      <c r="I143" s="5" t="inlineStr">
        <is>
          <t>Not run</t>
        </is>
      </c>
      <c r="J143" s="5" t="inlineStr"/>
    </row>
    <row r="144">
      <c r="A144" s="6" t="inlineStr">
        <is>
          <t>P21</t>
        </is>
      </c>
      <c r="B144" s="6" t="n">
        <v>2</v>
      </c>
      <c r="C144" s="6" t="inlineStr">
        <is>
          <t>Clean</t>
        </is>
      </c>
      <c r="D144" s="6" t="inlineStr">
        <is>
          <t>None</t>
        </is>
      </c>
      <c r="E144" s="6" t="inlineStr"/>
      <c r="F144" s="6" t="inlineStr">
        <is>
          <t>In the final list</t>
        </is>
      </c>
      <c r="G144" s="6" t="inlineStr">
        <is>
          <t>Primary</t>
        </is>
      </c>
      <c r="H144" s="6" t="inlineStr">
        <is>
          <t>email and LinkedIn</t>
        </is>
      </c>
      <c r="I144" s="7" t="inlineStr">
        <is>
          <t>Not run</t>
        </is>
      </c>
      <c r="J144" s="7" t="inlineStr"/>
    </row>
    <row r="145">
      <c r="A145" s="6" t="inlineStr">
        <is>
          <t>P21</t>
        </is>
      </c>
      <c r="B145" s="6" t="n">
        <v>3</v>
      </c>
      <c r="C145" s="6" t="inlineStr">
        <is>
          <t>Clean</t>
        </is>
      </c>
      <c r="D145" s="6" t="inlineStr">
        <is>
          <t>None</t>
        </is>
      </c>
      <c r="E145" s="6" t="inlineStr"/>
      <c r="F145" s="6" t="inlineStr">
        <is>
          <t>In the final list</t>
        </is>
      </c>
      <c r="G145" s="6" t="inlineStr">
        <is>
          <t>Secondary</t>
        </is>
      </c>
      <c r="H145" s="6" t="inlineStr">
        <is>
          <t>email and LinkedIn</t>
        </is>
      </c>
      <c r="I145" s="7" t="inlineStr">
        <is>
          <t>Not run</t>
        </is>
      </c>
      <c r="J145" s="7" t="inlineStr"/>
    </row>
    <row r="146">
      <c r="A146" s="4" t="inlineStr">
        <is>
          <t>P22</t>
        </is>
      </c>
      <c r="B146" s="4" t="n">
        <v>2</v>
      </c>
      <c r="C146" s="4" t="inlineStr">
        <is>
          <t>Comma in the company name and the job title</t>
        </is>
      </c>
      <c r="D146" s="4" t="inlineStr">
        <is>
          <t>None</t>
        </is>
      </c>
      <c r="E146" s="4" t="inlineStr"/>
      <c r="F146" s="4" t="inlineStr">
        <is>
          <t>In the final list</t>
        </is>
      </c>
      <c r="G146" s="4" t="inlineStr">
        <is>
          <t>Primary</t>
        </is>
      </c>
      <c r="H146" s="4" t="inlineStr">
        <is>
          <t>email and LinkedIn</t>
        </is>
      </c>
      <c r="I146" s="5" t="inlineStr">
        <is>
          <t>Not run</t>
        </is>
      </c>
      <c r="J146" s="5" t="inlineStr"/>
    </row>
    <row r="147">
      <c r="A147" s="4" t="inlineStr">
        <is>
          <t>P22</t>
        </is>
      </c>
      <c r="B147" s="4" t="n">
        <v>3</v>
      </c>
      <c r="C147" s="4" t="inlineStr">
        <is>
          <t>Accented name and quotes in the title</t>
        </is>
      </c>
      <c r="D147" s="4" t="inlineStr">
        <is>
          <t>None</t>
        </is>
      </c>
      <c r="E147" s="4" t="inlineStr"/>
      <c r="F147" s="4" t="inlineStr">
        <is>
          <t>In the final list</t>
        </is>
      </c>
      <c r="G147" s="4" t="inlineStr">
        <is>
          <t>Secondary</t>
        </is>
      </c>
      <c r="H147" s="4" t="inlineStr">
        <is>
          <t>email and LinkedIn</t>
        </is>
      </c>
      <c r="I147" s="5" t="inlineStr">
        <is>
          <t>Not run</t>
        </is>
      </c>
      <c r="J147" s="5" t="inlineStr"/>
    </row>
    <row r="148">
      <c r="A148" s="4" t="inlineStr">
        <is>
          <t>P22</t>
        </is>
      </c>
      <c r="B148" s="4" t="n">
        <v>4</v>
      </c>
      <c r="C148" s="4" t="inlineStr">
        <is>
          <t>Apostrophe in the name</t>
        </is>
      </c>
      <c r="D148" s="4" t="inlineStr">
        <is>
          <t>None</t>
        </is>
      </c>
      <c r="E148" s="4" t="inlineStr"/>
      <c r="F148" s="4" t="inlineStr">
        <is>
          <t>In the final list</t>
        </is>
      </c>
      <c r="G148" s="4" t="inlineStr">
        <is>
          <t>Primary</t>
        </is>
      </c>
      <c r="H148" s="4" t="inlineStr">
        <is>
          <t>email and LinkedIn</t>
        </is>
      </c>
      <c r="I148" s="5" t="inlineStr">
        <is>
          <t>Not run</t>
        </is>
      </c>
      <c r="J148" s="5" t="inlineStr"/>
    </row>
    <row r="149">
      <c r="A149" s="6" t="inlineStr">
        <is>
          <t>S00</t>
        </is>
      </c>
      <c r="B149" s="6" t="n">
        <v>2</v>
      </c>
      <c r="C149" s="6" t="inlineStr">
        <is>
          <t>Fit 100: core, above-target revenue, refining site, existing customer, owner-operator, primary contact</t>
        </is>
      </c>
      <c r="D149" s="6" t="inlineStr">
        <is>
          <t>None</t>
        </is>
      </c>
      <c r="E149" s="6" t="inlineStr"/>
      <c r="F149" s="6" t="inlineStr">
        <is>
          <t>In the final list</t>
        </is>
      </c>
      <c r="G149" s="6" t="inlineStr">
        <is>
          <t>Primary</t>
        </is>
      </c>
      <c r="H149" s="6" t="inlineStr">
        <is>
          <t>email and LinkedIn</t>
        </is>
      </c>
      <c r="I149" s="7" t="inlineStr">
        <is>
          <t>Not run</t>
        </is>
      </c>
      <c r="J149" s="7" t="inlineStr"/>
    </row>
    <row r="150">
      <c r="A150" s="6" t="inlineStr">
        <is>
          <t>S00</t>
        </is>
      </c>
      <c r="B150" s="6" t="n">
        <v>3</v>
      </c>
      <c r="C150" s="6" t="inlineStr">
        <is>
          <t>Fit 100: core, above-target revenue, refining site, existing customer, owner-operator, primary contact</t>
        </is>
      </c>
      <c r="D150" s="6" t="inlineStr">
        <is>
          <t>None</t>
        </is>
      </c>
      <c r="E150" s="6" t="inlineStr"/>
      <c r="F150" s="6" t="inlineStr">
        <is>
          <t>In the final list</t>
        </is>
      </c>
      <c r="G150" s="6" t="inlineStr">
        <is>
          <t>Secondary</t>
        </is>
      </c>
      <c r="H150" s="6" t="inlineStr">
        <is>
          <t>email and LinkedIn</t>
        </is>
      </c>
      <c r="I150" s="7" t="inlineStr">
        <is>
          <t>Not run</t>
        </is>
      </c>
      <c r="J150" s="7" t="inlineStr"/>
    </row>
    <row r="151">
      <c r="A151" s="6" t="inlineStr">
        <is>
          <t>S00</t>
        </is>
      </c>
      <c r="B151" s="6" t="n">
        <v>4</v>
      </c>
      <c r="C151" s="6" t="inlineStr">
        <is>
          <t>Fit 100</t>
        </is>
      </c>
      <c r="D151" s="6" t="inlineStr">
        <is>
          <t>None</t>
        </is>
      </c>
      <c r="E151" s="6" t="inlineStr"/>
      <c r="F151" s="6" t="inlineStr">
        <is>
          <t>In the final list</t>
        </is>
      </c>
      <c r="G151" s="6" t="inlineStr">
        <is>
          <t>Primary</t>
        </is>
      </c>
      <c r="H151" s="6" t="inlineStr">
        <is>
          <t>email and LinkedIn</t>
        </is>
      </c>
      <c r="I151" s="7" t="inlineStr">
        <is>
          <t>Not run</t>
        </is>
      </c>
      <c r="J151" s="7" t="inlineStr"/>
    </row>
    <row r="152">
      <c r="A152" s="6" t="inlineStr">
        <is>
          <t>S00</t>
        </is>
      </c>
      <c r="B152" s="6" t="n">
        <v>5</v>
      </c>
      <c r="C152" s="6" t="inlineStr">
        <is>
          <t>Fit 100</t>
        </is>
      </c>
      <c r="D152" s="6" t="inlineStr">
        <is>
          <t>None</t>
        </is>
      </c>
      <c r="E152" s="6" t="inlineStr"/>
      <c r="F152" s="6" t="inlineStr">
        <is>
          <t>In the final list</t>
        </is>
      </c>
      <c r="G152" s="6" t="inlineStr">
        <is>
          <t>Secondary</t>
        </is>
      </c>
      <c r="H152" s="6" t="inlineStr">
        <is>
          <t>email and LinkedIn</t>
        </is>
      </c>
      <c r="I152" s="7" t="inlineStr">
        <is>
          <t>Not run</t>
        </is>
      </c>
      <c r="J152" s="7" t="inlineStr"/>
    </row>
    <row r="153">
      <c r="A153" s="6" t="inlineStr">
        <is>
          <t>S00</t>
        </is>
      </c>
      <c r="B153" s="6" t="n">
        <v>6</v>
      </c>
      <c r="C153" s="6" t="inlineStr">
        <is>
          <t>Fit 100</t>
        </is>
      </c>
      <c r="D153" s="6" t="inlineStr">
        <is>
          <t>None</t>
        </is>
      </c>
      <c r="E153" s="6" t="inlineStr"/>
      <c r="F153" s="6" t="inlineStr">
        <is>
          <t>In the final list</t>
        </is>
      </c>
      <c r="G153" s="6" t="inlineStr">
        <is>
          <t>Primary</t>
        </is>
      </c>
      <c r="H153" s="6" t="inlineStr">
        <is>
          <t>email and LinkedIn</t>
        </is>
      </c>
      <c r="I153" s="7" t="inlineStr">
        <is>
          <t>Not run</t>
        </is>
      </c>
      <c r="J153" s="7" t="inlineStr"/>
    </row>
    <row r="154">
      <c r="A154" s="6" t="inlineStr">
        <is>
          <t>S00</t>
        </is>
      </c>
      <c r="B154" s="6" t="n">
        <v>7</v>
      </c>
      <c r="C154" s="6" t="inlineStr">
        <is>
          <t>Fit 100</t>
        </is>
      </c>
      <c r="D154" s="6" t="inlineStr">
        <is>
          <t>None</t>
        </is>
      </c>
      <c r="E154" s="6" t="inlineStr"/>
      <c r="F154" s="6" t="inlineStr">
        <is>
          <t>In the final list</t>
        </is>
      </c>
      <c r="G154" s="6" t="inlineStr">
        <is>
          <t>Secondary</t>
        </is>
      </c>
      <c r="H154" s="6" t="inlineStr">
        <is>
          <t>email and LinkedIn</t>
        </is>
      </c>
      <c r="I154" s="7" t="inlineStr">
        <is>
          <t>Not run</t>
        </is>
      </c>
      <c r="J154" s="7" t="inlineStr"/>
    </row>
    <row r="155">
      <c r="A155" s="6" t="inlineStr">
        <is>
          <t>S00</t>
        </is>
      </c>
      <c r="B155" s="6" t="n">
        <v>8</v>
      </c>
      <c r="C155" s="6" t="inlineStr">
        <is>
          <t>Fit 100</t>
        </is>
      </c>
      <c r="D155" s="6" t="inlineStr">
        <is>
          <t>None</t>
        </is>
      </c>
      <c r="E155" s="6" t="inlineStr"/>
      <c r="F155" s="6" t="inlineStr">
        <is>
          <t>In the final list</t>
        </is>
      </c>
      <c r="G155" s="6" t="inlineStr">
        <is>
          <t>Primary</t>
        </is>
      </c>
      <c r="H155" s="6" t="inlineStr">
        <is>
          <t>email and LinkedIn</t>
        </is>
      </c>
      <c r="I155" s="7" t="inlineStr">
        <is>
          <t>Not run</t>
        </is>
      </c>
      <c r="J155" s="7" t="inlineStr"/>
    </row>
    <row r="156">
      <c r="A156" s="6" t="inlineStr">
        <is>
          <t>S00</t>
        </is>
      </c>
      <c r="B156" s="6" t="n">
        <v>9</v>
      </c>
      <c r="C156" s="6" t="inlineStr">
        <is>
          <t>Fit 100</t>
        </is>
      </c>
      <c r="D156" s="6" t="inlineStr">
        <is>
          <t>None</t>
        </is>
      </c>
      <c r="E156" s="6" t="inlineStr"/>
      <c r="F156" s="6" t="inlineStr">
        <is>
          <t>In the final list</t>
        </is>
      </c>
      <c r="G156" s="6" t="inlineStr">
        <is>
          <t>Secondary</t>
        </is>
      </c>
      <c r="H156" s="6" t="inlineStr">
        <is>
          <t>email and LinkedIn</t>
        </is>
      </c>
      <c r="I156" s="7" t="inlineStr">
        <is>
          <t>Not run</t>
        </is>
      </c>
      <c r="J156" s="7" t="inlineStr"/>
    </row>
    <row r="157">
      <c r="A157" s="6" t="inlineStr">
        <is>
          <t>S00</t>
        </is>
      </c>
      <c r="B157" s="6" t="n">
        <v>10</v>
      </c>
      <c r="C157" s="6" t="inlineStr">
        <is>
          <t>Fit 100</t>
        </is>
      </c>
      <c r="D157" s="6" t="inlineStr">
        <is>
          <t>None</t>
        </is>
      </c>
      <c r="E157" s="6" t="inlineStr"/>
      <c r="F157" s="6" t="inlineStr">
        <is>
          <t>In the final list</t>
        </is>
      </c>
      <c r="G157" s="6" t="inlineStr">
        <is>
          <t>Primary</t>
        </is>
      </c>
      <c r="H157" s="6" t="inlineStr">
        <is>
          <t>email and LinkedIn</t>
        </is>
      </c>
      <c r="I157" s="7" t="inlineStr">
        <is>
          <t>Not run</t>
        </is>
      </c>
      <c r="J157" s="7" t="inlineStr"/>
    </row>
    <row r="158">
      <c r="A158" s="6" t="inlineStr">
        <is>
          <t>S00</t>
        </is>
      </c>
      <c r="B158" s="6" t="n">
        <v>11</v>
      </c>
      <c r="C158" s="6" t="inlineStr">
        <is>
          <t>Fit 100</t>
        </is>
      </c>
      <c r="D158" s="6" t="inlineStr">
        <is>
          <t>None</t>
        </is>
      </c>
      <c r="E158" s="6" t="inlineStr"/>
      <c r="F158" s="6" t="inlineStr">
        <is>
          <t>In the final list</t>
        </is>
      </c>
      <c r="G158" s="6" t="inlineStr">
        <is>
          <t>Secondary</t>
        </is>
      </c>
      <c r="H158" s="6" t="inlineStr">
        <is>
          <t>email and LinkedIn</t>
        </is>
      </c>
      <c r="I158" s="7" t="inlineStr">
        <is>
          <t>Not run</t>
        </is>
      </c>
      <c r="J158" s="7" t="inlineStr"/>
    </row>
    <row r="159">
      <c r="A159" s="6" t="inlineStr">
        <is>
          <t>S00</t>
        </is>
      </c>
      <c r="B159" s="6" t="n">
        <v>12</v>
      </c>
      <c r="C159" s="6" t="inlineStr">
        <is>
          <t>Fit 100 (gets no signal in most files: watch list)</t>
        </is>
      </c>
      <c r="D159" s="6" t="inlineStr">
        <is>
          <t>None</t>
        </is>
      </c>
      <c r="E159" s="6" t="inlineStr"/>
      <c r="F159" s="6" t="inlineStr">
        <is>
          <t>In the final list</t>
        </is>
      </c>
      <c r="G159" s="6" t="inlineStr">
        <is>
          <t>Primary</t>
        </is>
      </c>
      <c r="H159" s="6" t="inlineStr">
        <is>
          <t>email and LinkedIn</t>
        </is>
      </c>
      <c r="I159" s="7" t="inlineStr">
        <is>
          <t>Not run</t>
        </is>
      </c>
      <c r="J159" s="7" t="inlineStr"/>
    </row>
    <row r="160">
      <c r="A160" s="6" t="inlineStr">
        <is>
          <t>S00</t>
        </is>
      </c>
      <c r="B160" s="6" t="n">
        <v>13</v>
      </c>
      <c r="C160" s="6" t="inlineStr">
        <is>
          <t>Fit 100 (gets no signal in most files: watch list)</t>
        </is>
      </c>
      <c r="D160" s="6" t="inlineStr">
        <is>
          <t>None</t>
        </is>
      </c>
      <c r="E160" s="6" t="inlineStr"/>
      <c r="F160" s="6" t="inlineStr">
        <is>
          <t>In the final list</t>
        </is>
      </c>
      <c r="G160" s="6" t="inlineStr">
        <is>
          <t>Secondary</t>
        </is>
      </c>
      <c r="H160" s="6" t="inlineStr">
        <is>
          <t>email and LinkedIn</t>
        </is>
      </c>
      <c r="I160" s="7" t="inlineStr">
        <is>
          <t>Not run</t>
        </is>
      </c>
      <c r="J160" s="7" t="inlineStr"/>
    </row>
    <row r="161">
      <c r="A161" s="6" t="inlineStr">
        <is>
          <t>S00</t>
        </is>
      </c>
      <c r="B161" s="6" t="n">
        <v>14</v>
      </c>
      <c r="C161" s="6" t="inlineStr">
        <is>
          <t>Revenue USD 400m (in target): fit 94</t>
        </is>
      </c>
      <c r="D161" s="6" t="inlineStr">
        <is>
          <t>None</t>
        </is>
      </c>
      <c r="E161" s="6" t="inlineStr"/>
      <c r="F161" s="6" t="inlineStr">
        <is>
          <t>In the final list</t>
        </is>
      </c>
      <c r="G161" s="6" t="inlineStr">
        <is>
          <t>Primary</t>
        </is>
      </c>
      <c r="H161" s="6" t="inlineStr">
        <is>
          <t>email and LinkedIn</t>
        </is>
      </c>
      <c r="I161" s="7" t="inlineStr">
        <is>
          <t>Not run</t>
        </is>
      </c>
      <c r="J161" s="7" t="inlineStr"/>
    </row>
    <row r="162">
      <c r="A162" s="6" t="inlineStr">
        <is>
          <t>S00</t>
        </is>
      </c>
      <c r="B162" s="6" t="n">
        <v>15</v>
      </c>
      <c r="C162" s="6" t="inlineStr">
        <is>
          <t>Same as Moorland but not a customer: fit 85</t>
        </is>
      </c>
      <c r="D162" s="6" t="inlineStr">
        <is>
          <t>None</t>
        </is>
      </c>
      <c r="E162" s="6" t="inlineStr"/>
      <c r="F162" s="6" t="inlineStr">
        <is>
          <t>In the final list</t>
        </is>
      </c>
      <c r="G162" s="6" t="inlineStr">
        <is>
          <t>Primary</t>
        </is>
      </c>
      <c r="H162" s="6" t="inlineStr">
        <is>
          <t>email and LinkedIn</t>
        </is>
      </c>
      <c r="I162" s="7" t="inlineStr">
        <is>
          <t>Not run</t>
        </is>
      </c>
      <c r="J162" s="7" t="inlineStr"/>
    </row>
    <row r="163">
      <c r="A163" s="6" t="inlineStr">
        <is>
          <t>S00</t>
        </is>
      </c>
      <c r="B163" s="6" t="n">
        <v>16</v>
      </c>
      <c r="C163" s="6" t="inlineStr">
        <is>
          <t>Petrochemicals (adjacent), olefins site: fit 75</t>
        </is>
      </c>
      <c r="D163" s="6" t="inlineStr">
        <is>
          <t>None</t>
        </is>
      </c>
      <c r="E163" s="6" t="inlineStr"/>
      <c r="F163" s="6" t="inlineStr">
        <is>
          <t>In the final list</t>
        </is>
      </c>
      <c r="G163" s="6" t="inlineStr">
        <is>
          <t>Primary</t>
        </is>
      </c>
      <c r="H163" s="6" t="inlineStr">
        <is>
          <t>email and LinkedIn</t>
        </is>
      </c>
      <c r="I163" s="7" t="inlineStr">
        <is>
          <t>Not run</t>
        </is>
      </c>
      <c r="J163" s="7" t="inlineStr"/>
    </row>
    <row r="164">
      <c r="A164" s="6" t="inlineStr">
        <is>
          <t>S00</t>
        </is>
      </c>
      <c r="B164" s="6" t="n">
        <v>17</v>
      </c>
      <c r="C164" s="6" t="inlineStr">
        <is>
          <t>Industry not in the lookup: vertical Other, fit 60</t>
        </is>
      </c>
      <c r="D164" s="6" t="inlineStr">
        <is>
          <t>None</t>
        </is>
      </c>
      <c r="E164" s="6" t="inlineStr"/>
      <c r="F164" s="6" t="inlineStr">
        <is>
          <t>In the final list</t>
        </is>
      </c>
      <c r="G164" s="6" t="inlineStr">
        <is>
          <t>Primary</t>
        </is>
      </c>
      <c r="H164" s="6" t="inlineStr">
        <is>
          <t>email and LinkedIn</t>
        </is>
      </c>
      <c r="I164" s="7" t="inlineStr">
        <is>
          <t>Not run</t>
        </is>
      </c>
      <c r="J164" s="7" t="inlineStr"/>
    </row>
    <row r="165">
      <c r="A165" s="6" t="inlineStr">
        <is>
          <t>S00</t>
        </is>
      </c>
      <c r="B165" s="6" t="n">
        <v>18</v>
      </c>
      <c r="C165" s="6" t="inlineStr">
        <is>
          <t>EPC contractor: fit 96</t>
        </is>
      </c>
      <c r="D165" s="6" t="inlineStr">
        <is>
          <t>None</t>
        </is>
      </c>
      <c r="E165" s="6" t="inlineStr"/>
      <c r="F165" s="6" t="inlineStr">
        <is>
          <t>In the final list</t>
        </is>
      </c>
      <c r="G165" s="6" t="inlineStr">
        <is>
          <t>Primary</t>
        </is>
      </c>
      <c r="H165" s="6" t="inlineStr">
        <is>
          <t>email and LinkedIn</t>
        </is>
      </c>
      <c r="I165" s="7" t="inlineStr">
        <is>
          <t>Not run</t>
        </is>
      </c>
      <c r="J165" s="7" t="inlineStr"/>
    </row>
    <row r="166">
      <c r="A166" s="6" t="inlineStr">
        <is>
          <t>S00</t>
        </is>
      </c>
      <c r="B166" s="6" t="n">
        <v>19</v>
      </c>
      <c r="C166" s="6" t="inlineStr">
        <is>
          <t>No primary-persona contact: fit 97, confidence low</t>
        </is>
      </c>
      <c r="D166" s="6" t="inlineStr">
        <is>
          <t>None</t>
        </is>
      </c>
      <c r="E166" s="6" t="inlineStr"/>
      <c r="F166" s="6" t="inlineStr">
        <is>
          <t>In the final list</t>
        </is>
      </c>
      <c r="G166" s="6" t="inlineStr">
        <is>
          <t>Secondary</t>
        </is>
      </c>
      <c r="H166" s="6" t="inlineStr">
        <is>
          <t>email and LinkedIn</t>
        </is>
      </c>
      <c r="I166" s="7" t="inlineStr">
        <is>
          <t>Not run</t>
        </is>
      </c>
      <c r="J166" s="7" t="inlineStr"/>
    </row>
    <row r="167">
      <c r="A167" s="6" t="inlineStr">
        <is>
          <t>S00</t>
        </is>
      </c>
      <c r="B167" s="6" t="n">
        <v>20</v>
      </c>
      <c r="C167" s="6" t="inlineStr">
        <is>
          <t>Fit exactly 50 (core, small, no site, not a customer, distributor, no primary contact): just passes the floor</t>
        </is>
      </c>
      <c r="D167" s="6" t="inlineStr">
        <is>
          <t>None</t>
        </is>
      </c>
      <c r="E167" s="6" t="inlineStr"/>
      <c r="F167" s="6" t="inlineStr">
        <is>
          <t>In the final list</t>
        </is>
      </c>
      <c r="G167" s="6" t="inlineStr">
        <is>
          <t>Secondary</t>
        </is>
      </c>
      <c r="H167" s="6" t="inlineStr">
        <is>
          <t>email and LinkedIn</t>
        </is>
      </c>
      <c r="I167" s="7" t="inlineStr">
        <is>
          <t>Not run</t>
        </is>
      </c>
      <c r="J167" s="7" t="inlineStr"/>
    </row>
    <row r="168">
      <c r="A168" s="6" t="inlineStr">
        <is>
          <t>S00</t>
        </is>
      </c>
      <c r="B168" s="6" t="n">
        <v>21</v>
      </c>
      <c r="C168" s="6" t="inlineStr">
        <is>
          <t>Fit 49 (no size given): below the fit floor</t>
        </is>
      </c>
      <c r="D168" s="6" t="inlineStr">
        <is>
          <t>annual_revenue_usd / employee_count: D3 No company size</t>
        </is>
      </c>
      <c r="E168" s="6" t="inlineStr"/>
      <c r="F168" s="6" t="inlineStr">
        <is>
          <t>In the final list</t>
        </is>
      </c>
      <c r="G168" s="6" t="inlineStr">
        <is>
          <t>Primary</t>
        </is>
      </c>
      <c r="H168" s="6" t="inlineStr">
        <is>
          <t>email and LinkedIn</t>
        </is>
      </c>
      <c r="I168" s="7" t="inlineStr">
        <is>
          <t>Not run</t>
        </is>
      </c>
      <c r="J168" s="7" t="inlineStr"/>
    </row>
    <row r="169">
      <c r="A169" s="6" t="inlineStr">
        <is>
          <t>S00</t>
        </is>
      </c>
      <c r="B169" s="6" t="n">
        <v>22</v>
      </c>
      <c r="C169" s="6" t="inlineStr">
        <is>
          <t>Primary contact opted out; secondary kept</t>
        </is>
      </c>
      <c r="D169" s="6" t="inlineStr">
        <is>
          <t>None</t>
        </is>
      </c>
      <c r="E169" s="6" t="inlineStr">
        <is>
          <t>opt_out: Opted out</t>
        </is>
      </c>
      <c r="F169" s="6" t="inlineStr">
        <is>
          <t>Not in the list: opted out</t>
        </is>
      </c>
      <c r="G169" s="6" t="inlineStr">
        <is>
          <t>Primary</t>
        </is>
      </c>
      <c r="H169" s="6" t="inlineStr">
        <is>
          <t>email and LinkedIn</t>
        </is>
      </c>
      <c r="I169" s="7" t="inlineStr">
        <is>
          <t>Not run</t>
        </is>
      </c>
      <c r="J169" s="7" t="inlineStr"/>
    </row>
    <row r="170">
      <c r="A170" s="6" t="inlineStr">
        <is>
          <t>S00</t>
        </is>
      </c>
      <c r="B170" s="6" t="n">
        <v>23</v>
      </c>
      <c r="C170" s="6" t="inlineStr">
        <is>
          <t>Primary contact opted out; secondary kept</t>
        </is>
      </c>
      <c r="D170" s="6" t="inlineStr">
        <is>
          <t>None</t>
        </is>
      </c>
      <c r="E170" s="6" t="inlineStr"/>
      <c r="F170" s="6" t="inlineStr">
        <is>
          <t>In the final list</t>
        </is>
      </c>
      <c r="G170" s="6" t="inlineStr">
        <is>
          <t>Secondary</t>
        </is>
      </c>
      <c r="H170" s="6" t="inlineStr">
        <is>
          <t>email and LinkedIn</t>
        </is>
      </c>
      <c r="I170" s="7" t="inlineStr">
        <is>
          <t>Not run</t>
        </is>
      </c>
      <c r="J170" s="7" t="inlineStr"/>
    </row>
    <row r="171">
      <c r="A171" s="6" t="inlineStr">
        <is>
          <t>S00</t>
        </is>
      </c>
      <c r="B171" s="6" t="n">
        <v>24</v>
      </c>
      <c r="C171" s="6" t="inlineStr">
        <is>
          <t>Fit 100 (used for the knock-out test)</t>
        </is>
      </c>
      <c r="D171" s="6" t="inlineStr">
        <is>
          <t>None</t>
        </is>
      </c>
      <c r="E171" s="6" t="inlineStr"/>
      <c r="F171" s="6" t="inlineStr">
        <is>
          <t>In the final list</t>
        </is>
      </c>
      <c r="G171" s="6" t="inlineStr">
        <is>
          <t>Primary</t>
        </is>
      </c>
      <c r="H171" s="6" t="inlineStr">
        <is>
          <t>email and LinkedIn</t>
        </is>
      </c>
      <c r="I171" s="7" t="inlineStr">
        <is>
          <t>Not run</t>
        </is>
      </c>
      <c r="J171" s="7" t="inlineStr"/>
    </row>
    <row r="172">
      <c r="A172" s="6" t="inlineStr">
        <is>
          <t>S00</t>
        </is>
      </c>
      <c r="B172" s="6" t="n">
        <v>25</v>
      </c>
      <c r="C172" s="6" t="inlineStr">
        <is>
          <t>Outside the pilot region (Australia): excluded in the list</t>
        </is>
      </c>
      <c r="D172" s="6" t="inlineStr">
        <is>
          <t>None</t>
        </is>
      </c>
      <c r="E172" s="6" t="inlineStr"/>
      <c r="F172" s="6" t="inlineStr">
        <is>
          <t>Not in the list: account excluded (Outside the pilot region (Australia))</t>
        </is>
      </c>
      <c r="G172" s="6" t="inlineStr">
        <is>
          <t>Primary</t>
        </is>
      </c>
      <c r="H172" s="6" t="inlineStr">
        <is>
          <t>email and LinkedIn</t>
        </is>
      </c>
      <c r="I172" s="7" t="inlineStr">
        <is>
          <t>Not run</t>
        </is>
      </c>
      <c r="J172" s="7" t="inlineStr"/>
    </row>
  </sheetData>
  <autoFilter ref="A1:J172"/>
  <conditionalFormatting sqref="I2:I172">
    <cfRule type="expression" priority="1" dxfId="0">
      <formula>$I2="Pass"</formula>
    </cfRule>
    <cfRule type="expression" priority="2" dxfId="1">
      <formula>$I2="Fail"</formula>
    </cfRule>
    <cfRule type="expression" priority="3" dxfId="2">
      <formula>$I2="Blocked"</formula>
    </cfRule>
    <cfRule type="expression" priority="4" dxfId="3">
      <formula>$I2="Not in scope"</formula>
    </cfRule>
  </conditionalFormatting>
  <dataValidations count="1">
    <dataValidation sqref="I2:I172" showDropDown="0" showInputMessage="0" showErrorMessage="0" allowBlank="1" type="list">
      <formula1>"Not run,Pass,Fail,Blocked,Not in scope"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4" customWidth="1" min="3" max="3"/>
    <col width="24" customWidth="1" min="4" max="4"/>
    <col width="12" customWidth="1" min="5" max="5"/>
    <col width="10" customWidth="1" min="6" max="6"/>
    <col width="30" customWidth="1" min="7" max="7"/>
  </cols>
  <sheetData>
    <row r="1">
      <c r="A1" s="3" t="inlineStr">
        <is>
          <t>File</t>
        </is>
      </c>
      <c r="B1" s="3" t="inlineStr">
        <is>
          <t>Account</t>
        </is>
      </c>
      <c r="C1" s="3" t="inlineStr">
        <is>
          <t>Region and suppression checks</t>
        </is>
      </c>
      <c r="D1" s="3" t="inlineStr">
        <is>
          <t>Vertical</t>
        </is>
      </c>
      <c r="E1" s="3" t="inlineStr">
        <is>
          <t>Classification confidence</t>
        </is>
      </c>
      <c r="F1" s="3" t="inlineStr">
        <is>
          <t>Held for review</t>
        </is>
      </c>
      <c r="G1" s="3" t="inlineStr">
        <is>
          <t>Owner</t>
        </is>
      </c>
    </row>
    <row r="2">
      <c r="A2" s="6" t="inlineStr">
        <is>
          <t>P01</t>
        </is>
      </c>
      <c r="B2" s="6" t="inlineStr">
        <is>
          <t>Harbour Refining</t>
        </is>
      </c>
      <c r="C2" s="6" t="inlineStr">
        <is>
          <t>Passes</t>
        </is>
      </c>
      <c r="D2" s="6" t="inlineStr">
        <is>
          <t>Refining (core)</t>
        </is>
      </c>
      <c r="E2" s="6" t="inlineStr">
        <is>
          <t>high</t>
        </is>
      </c>
      <c r="F2" s="6" t="inlineStr">
        <is>
          <t>No</t>
        </is>
      </c>
      <c r="G2" s="6" t="inlineStr">
        <is>
          <t>rep.a@client-sample.com</t>
        </is>
      </c>
    </row>
    <row r="3">
      <c r="A3" s="6" t="inlineStr">
        <is>
          <t>P01</t>
        </is>
      </c>
      <c r="B3" s="6" t="inlineStr">
        <is>
          <t>Kestrel Petrochem</t>
        </is>
      </c>
      <c r="C3" s="6" t="inlineStr">
        <is>
          <t>Passes</t>
        </is>
      </c>
      <c r="D3" s="6" t="inlineStr">
        <is>
          <t>Petrochemicals (adjacent)</t>
        </is>
      </c>
      <c r="E3" s="6" t="inlineStr">
        <is>
          <t>medium</t>
        </is>
      </c>
      <c r="F3" s="6" t="inlineStr">
        <is>
          <t>No</t>
        </is>
      </c>
      <c r="G3" s="6" t="inlineStr">
        <is>
          <t>rep.a@client-sample.com</t>
        </is>
      </c>
    </row>
    <row r="4">
      <c r="A4" s="6" t="inlineStr">
        <is>
          <t>P01</t>
        </is>
      </c>
      <c r="B4" s="6" t="inlineStr">
        <is>
          <t>Selatan LNG</t>
        </is>
      </c>
      <c r="C4" s="6" t="inlineStr">
        <is>
          <t>Passes</t>
        </is>
      </c>
      <c r="D4" s="6" t="inlineStr">
        <is>
          <t>Gas processing (adjacent)</t>
        </is>
      </c>
      <c r="E4" s="6" t="inlineStr">
        <is>
          <t>high</t>
        </is>
      </c>
      <c r="F4" s="6" t="inlineStr">
        <is>
          <t>No</t>
        </is>
      </c>
      <c r="G4" s="6" t="inlineStr">
        <is>
          <t>rep.b@client-sample.com</t>
        </is>
      </c>
    </row>
    <row r="5">
      <c r="A5" s="6" t="inlineStr">
        <is>
          <t>P01</t>
        </is>
      </c>
      <c r="B5" s="6" t="inlineStr">
        <is>
          <t>Mekong Refining</t>
        </is>
      </c>
      <c r="C5" s="6" t="inlineStr">
        <is>
          <t>Passes</t>
        </is>
      </c>
      <c r="D5" s="6" t="inlineStr">
        <is>
          <t>Refining (core)</t>
        </is>
      </c>
      <c r="E5" s="6" t="inlineStr">
        <is>
          <t>high</t>
        </is>
      </c>
      <c r="F5" s="6" t="inlineStr">
        <is>
          <t>No</t>
        </is>
      </c>
      <c r="G5" s="6" t="inlineStr">
        <is>
          <t>rep.b@client-sample.com</t>
        </is>
      </c>
    </row>
    <row r="6">
      <c r="A6" s="6" t="inlineStr">
        <is>
          <t>P01</t>
        </is>
      </c>
      <c r="B6" s="6" t="inlineStr">
        <is>
          <t>Visayas Gas</t>
        </is>
      </c>
      <c r="C6" s="6" t="inlineStr">
        <is>
          <t>Passes</t>
        </is>
      </c>
      <c r="D6" s="6" t="inlineStr">
        <is>
          <t>Gas processing (adjacent)</t>
        </is>
      </c>
      <c r="E6" s="6" t="inlineStr">
        <is>
          <t>high</t>
        </is>
      </c>
      <c r="F6" s="6" t="inlineStr">
        <is>
          <t>No</t>
        </is>
      </c>
      <c r="G6" s="6" t="inlineStr">
        <is>
          <t>rep.a@client-sample.com</t>
        </is>
      </c>
    </row>
    <row r="7">
      <c r="A7" s="4" t="inlineStr">
        <is>
          <t>P02</t>
        </is>
      </c>
      <c r="B7" s="4" t="inlineStr">
        <is>
          <t>Coral Bay Refining</t>
        </is>
      </c>
      <c r="C7" s="4" t="inlineStr">
        <is>
          <t>Passes</t>
        </is>
      </c>
      <c r="D7" s="4" t="inlineStr">
        <is>
          <t>Refining (core)</t>
        </is>
      </c>
      <c r="E7" s="4" t="inlineStr">
        <is>
          <t>high</t>
        </is>
      </c>
      <c r="F7" s="4" t="inlineStr">
        <is>
          <t>No</t>
        </is>
      </c>
      <c r="G7" s="4" t="inlineStr">
        <is>
          <t>rep.a@client-sample.com</t>
        </is>
      </c>
    </row>
    <row r="8">
      <c r="A8" s="6" t="inlineStr">
        <is>
          <t>P03</t>
        </is>
      </c>
      <c r="B8" s="6" t="inlineStr">
        <is>
          <t>Delta Refining</t>
        </is>
      </c>
      <c r="C8" s="6" t="inlineStr">
        <is>
          <t>Passes</t>
        </is>
      </c>
      <c r="D8" s="6" t="inlineStr">
        <is>
          <t>Refining (core)</t>
        </is>
      </c>
      <c r="E8" s="6" t="inlineStr">
        <is>
          <t>high</t>
        </is>
      </c>
      <c r="F8" s="6" t="inlineStr">
        <is>
          <t>No</t>
        </is>
      </c>
      <c r="G8" s="6" t="inlineStr">
        <is>
          <t>rep.a@client-sample.com</t>
        </is>
      </c>
    </row>
    <row r="9">
      <c r="A9" s="4" t="inlineStr">
        <is>
          <t>P04</t>
        </is>
      </c>
      <c r="B9" s="4" t="inlineStr">
        <is>
          <t>Eastwind Refining</t>
        </is>
      </c>
      <c r="C9" s="4" t="inlineStr">
        <is>
          <t>Passes</t>
        </is>
      </c>
      <c r="D9" s="4" t="inlineStr">
        <is>
          <t>Refining (core)</t>
        </is>
      </c>
      <c r="E9" s="4" t="inlineStr">
        <is>
          <t>high</t>
        </is>
      </c>
      <c r="F9" s="4" t="inlineStr">
        <is>
          <t>No</t>
        </is>
      </c>
      <c r="G9" s="4" t="inlineStr">
        <is>
          <t>rep.a@client-sample.com</t>
        </is>
      </c>
    </row>
    <row r="10">
      <c r="A10" s="6" t="inlineStr">
        <is>
          <t>P05</t>
        </is>
      </c>
      <c r="B10" s="6" t="inlineStr">
        <is>
          <t>Fairway Refining</t>
        </is>
      </c>
      <c r="C10" s="6" t="inlineStr">
        <is>
          <t>Passes</t>
        </is>
      </c>
      <c r="D10" s="6" t="inlineStr">
        <is>
          <t>Refining (core)</t>
        </is>
      </c>
      <c r="E10" s="6" t="inlineStr">
        <is>
          <t>high</t>
        </is>
      </c>
      <c r="F10" s="6" t="inlineStr">
        <is>
          <t>No</t>
        </is>
      </c>
      <c r="G10" s="6" t="inlineStr">
        <is>
          <t>rep.a@client-sample.com</t>
        </is>
      </c>
    </row>
    <row r="11">
      <c r="A11" s="6" t="inlineStr">
        <is>
          <t>P05</t>
        </is>
      </c>
      <c r="B11" s="6" t="inlineStr">
        <is>
          <t>Glenrock Refining</t>
        </is>
      </c>
      <c r="C11" s="6" t="inlineStr">
        <is>
          <t>Excluded: No contactable contacts after suppression</t>
        </is>
      </c>
      <c r="D11" s="6" t="inlineStr">
        <is>
          <t>Refining (core)</t>
        </is>
      </c>
      <c r="E11" s="6" t="inlineStr">
        <is>
          <t>high</t>
        </is>
      </c>
      <c r="F11" s="6" t="inlineStr">
        <is>
          <t>No</t>
        </is>
      </c>
      <c r="G11" s="6" t="inlineStr">
        <is>
          <t>rep.a@client-sample.com</t>
        </is>
      </c>
    </row>
    <row r="12">
      <c r="A12" s="4" t="inlineStr">
        <is>
          <t>P06</t>
        </is>
      </c>
      <c r="B12" s="4" t="inlineStr">
        <is>
          <t>Jurong Fuels</t>
        </is>
      </c>
      <c r="C12" s="4" t="inlineStr">
        <is>
          <t>Passes</t>
        </is>
      </c>
      <c r="D12" s="4" t="inlineStr">
        <is>
          <t>Refining (core)</t>
        </is>
      </c>
      <c r="E12" s="4" t="inlineStr">
        <is>
          <t>high</t>
        </is>
      </c>
      <c r="F12" s="4" t="inlineStr">
        <is>
          <t>No</t>
        </is>
      </c>
      <c r="G12" s="4" t="inlineStr">
        <is>
          <t>rep.a@client-sample.com</t>
        </is>
      </c>
    </row>
    <row r="13">
      <c r="A13" s="4" t="inlineStr">
        <is>
          <t>P06</t>
        </is>
      </c>
      <c r="B13" s="4" t="inlineStr">
        <is>
          <t>Kerteh Fuels</t>
        </is>
      </c>
      <c r="C13" s="4" t="inlineStr">
        <is>
          <t>Passes</t>
        </is>
      </c>
      <c r="D13" s="4" t="inlineStr">
        <is>
          <t>Refining (core)</t>
        </is>
      </c>
      <c r="E13" s="4" t="inlineStr">
        <is>
          <t>high</t>
        </is>
      </c>
      <c r="F13" s="4" t="inlineStr">
        <is>
          <t>No</t>
        </is>
      </c>
      <c r="G13" s="4" t="inlineStr">
        <is>
          <t>rep.a@client-sample.com</t>
        </is>
      </c>
    </row>
    <row r="14">
      <c r="A14" s="4" t="inlineStr">
        <is>
          <t>P06</t>
        </is>
      </c>
      <c r="B14" s="4" t="inlineStr">
        <is>
          <t>Rayong Fuels</t>
        </is>
      </c>
      <c r="C14" s="4" t="inlineStr">
        <is>
          <t>Passes</t>
        </is>
      </c>
      <c r="D14" s="4" t="inlineStr">
        <is>
          <t>Refining (core)</t>
        </is>
      </c>
      <c r="E14" s="4" t="inlineStr">
        <is>
          <t>high</t>
        </is>
      </c>
      <c r="F14" s="4" t="inlineStr">
        <is>
          <t>No</t>
        </is>
      </c>
      <c r="G14" s="4" t="inlineStr">
        <is>
          <t>rep.a@client-sample.com</t>
        </is>
      </c>
    </row>
    <row r="15">
      <c r="A15" s="4" t="inlineStr">
        <is>
          <t>P06</t>
        </is>
      </c>
      <c r="B15" s="4" t="inlineStr">
        <is>
          <t>Bataan Fuels</t>
        </is>
      </c>
      <c r="C15" s="4" t="inlineStr">
        <is>
          <t>Passes</t>
        </is>
      </c>
      <c r="D15" s="4" t="inlineStr">
        <is>
          <t>Refining (core)</t>
        </is>
      </c>
      <c r="E15" s="4" t="inlineStr">
        <is>
          <t>high</t>
        </is>
      </c>
      <c r="F15" s="4" t="inlineStr">
        <is>
          <t>No</t>
        </is>
      </c>
      <c r="G15" s="4" t="inlineStr">
        <is>
          <t>rep.a@client-sample.com</t>
        </is>
      </c>
    </row>
    <row r="16">
      <c r="A16" s="4" t="inlineStr">
        <is>
          <t>P06</t>
        </is>
      </c>
      <c r="B16" s="4" t="inlineStr">
        <is>
          <t>Cilegon Fuels</t>
        </is>
      </c>
      <c r="C16" s="4" t="inlineStr">
        <is>
          <t>Passes</t>
        </is>
      </c>
      <c r="D16" s="4" t="inlineStr">
        <is>
          <t>Refining (core)</t>
        </is>
      </c>
      <c r="E16" s="4" t="inlineStr">
        <is>
          <t>high</t>
        </is>
      </c>
      <c r="F16" s="4" t="inlineStr">
        <is>
          <t>No</t>
        </is>
      </c>
      <c r="G16" s="4" t="inlineStr">
        <is>
          <t>rep.a@client-sample.com</t>
        </is>
      </c>
    </row>
    <row r="17">
      <c r="A17" s="4" t="inlineStr">
        <is>
          <t>P06</t>
        </is>
      </c>
      <c r="B17" s="4" t="inlineStr">
        <is>
          <t>Vung Tau Fuels</t>
        </is>
      </c>
      <c r="C17" s="4" t="inlineStr">
        <is>
          <t>Passes</t>
        </is>
      </c>
      <c r="D17" s="4" t="inlineStr">
        <is>
          <t>Refining (core)</t>
        </is>
      </c>
      <c r="E17" s="4" t="inlineStr">
        <is>
          <t>high</t>
        </is>
      </c>
      <c r="F17" s="4" t="inlineStr">
        <is>
          <t>No</t>
        </is>
      </c>
      <c r="G17" s="4" t="inlineStr">
        <is>
          <t>rep.a@client-sample.com</t>
        </is>
      </c>
    </row>
    <row r="18">
      <c r="A18" s="4" t="inlineStr">
        <is>
          <t>P06</t>
        </is>
      </c>
      <c r="B18" s="4" t="inlineStr">
        <is>
          <t>Changi Fuels</t>
        </is>
      </c>
      <c r="C18" s="4" t="inlineStr">
        <is>
          <t>Passes</t>
        </is>
      </c>
      <c r="D18" s="4" t="inlineStr">
        <is>
          <t>Refining (core)</t>
        </is>
      </c>
      <c r="E18" s="4" t="inlineStr">
        <is>
          <t>high</t>
        </is>
      </c>
      <c r="F18" s="4" t="inlineStr">
        <is>
          <t>No</t>
        </is>
      </c>
      <c r="G18" s="4" t="inlineStr">
        <is>
          <t>rep.a@client-sample.com</t>
        </is>
      </c>
    </row>
    <row r="19">
      <c r="A19" s="4" t="inlineStr">
        <is>
          <t>P06</t>
        </is>
      </c>
      <c r="B19" s="4" t="inlineStr">
        <is>
          <t>Marina Fuels</t>
        </is>
      </c>
      <c r="C19" s="4" t="inlineStr">
        <is>
          <t>Passes</t>
        </is>
      </c>
      <c r="D19" s="4" t="inlineStr">
        <is>
          <t>Refining (core)</t>
        </is>
      </c>
      <c r="E19" s="4" t="inlineStr">
        <is>
          <t>high</t>
        </is>
      </c>
      <c r="F19" s="4" t="inlineStr">
        <is>
          <t>No</t>
        </is>
      </c>
      <c r="G19" s="4" t="inlineStr">
        <is>
          <t>rep.a@client-sample.com</t>
        </is>
      </c>
    </row>
    <row r="20">
      <c r="A20" s="4" t="inlineStr">
        <is>
          <t>P06</t>
        </is>
      </c>
      <c r="B20" s="4" t="inlineStr">
        <is>
          <t>Sentosa Fuels</t>
        </is>
      </c>
      <c r="C20" s="4" t="inlineStr">
        <is>
          <t>Excluded: Outside the pilot region (SG)</t>
        </is>
      </c>
      <c r="D20" s="4" t="inlineStr">
        <is>
          <t>Refining (core)</t>
        </is>
      </c>
      <c r="E20" s="4" t="inlineStr">
        <is>
          <t>high</t>
        </is>
      </c>
      <c r="F20" s="4" t="inlineStr">
        <is>
          <t>No</t>
        </is>
      </c>
      <c r="G20" s="4" t="inlineStr">
        <is>
          <t>rep.a@client-sample.com</t>
        </is>
      </c>
    </row>
    <row r="21">
      <c r="A21" s="4" t="inlineStr">
        <is>
          <t>P06</t>
        </is>
      </c>
      <c r="B21" s="4" t="inlineStr">
        <is>
          <t>Perth Fuels</t>
        </is>
      </c>
      <c r="C21" s="4" t="inlineStr">
        <is>
          <t>Excluded: Outside the pilot region (Australia)</t>
        </is>
      </c>
      <c r="D21" s="4" t="inlineStr">
        <is>
          <t>Refining (core)</t>
        </is>
      </c>
      <c r="E21" s="4" t="inlineStr">
        <is>
          <t>high</t>
        </is>
      </c>
      <c r="F21" s="4" t="inlineStr">
        <is>
          <t>No</t>
        </is>
      </c>
      <c r="G21" s="4" t="inlineStr">
        <is>
          <t>rep.a@client-sample.com</t>
        </is>
      </c>
    </row>
    <row r="22">
      <c r="A22" s="4" t="inlineStr">
        <is>
          <t>P06</t>
        </is>
      </c>
      <c r="B22" s="4" t="inlineStr">
        <is>
          <t>Nowhere Fuels</t>
        </is>
      </c>
      <c r="C22" s="4" t="inlineStr">
        <is>
          <t>Excluded: Outside the pilot region (no country)</t>
        </is>
      </c>
      <c r="D22" s="4" t="inlineStr">
        <is>
          <t>Refining (core)</t>
        </is>
      </c>
      <c r="E22" s="4" t="inlineStr">
        <is>
          <t>high</t>
        </is>
      </c>
      <c r="F22" s="4" t="inlineStr">
        <is>
          <t>No</t>
        </is>
      </c>
      <c r="G22" s="4" t="inlineStr">
        <is>
          <t>rep.a@client-sample.com</t>
        </is>
      </c>
    </row>
    <row r="23">
      <c r="A23" s="6" t="inlineStr">
        <is>
          <t>P07</t>
        </is>
      </c>
      <c r="B23" s="6" t="inlineStr">
        <is>
          <t>Anchor Refining</t>
        </is>
      </c>
      <c r="C23" s="6" t="inlineStr">
        <is>
          <t>Excluded: Managed separately by Client</t>
        </is>
      </c>
      <c r="D23" s="6" t="inlineStr">
        <is>
          <t>Refining (core)</t>
        </is>
      </c>
      <c r="E23" s="6" t="inlineStr">
        <is>
          <t>high</t>
        </is>
      </c>
      <c r="F23" s="6" t="inlineStr">
        <is>
          <t>No</t>
        </is>
      </c>
      <c r="G23" s="6" t="inlineStr">
        <is>
          <t>rep.a@client-sample.com</t>
        </is>
      </c>
    </row>
    <row r="24">
      <c r="A24" s="6" t="inlineStr">
        <is>
          <t>P07</t>
        </is>
      </c>
      <c r="B24" s="6" t="inlineStr">
        <is>
          <t>Beacon Refining</t>
        </is>
      </c>
      <c r="C24" s="6" t="inlineStr">
        <is>
          <t>Passes</t>
        </is>
      </c>
      <c r="D24" s="6" t="inlineStr">
        <is>
          <t>Refining (core)</t>
        </is>
      </c>
      <c r="E24" s="6" t="inlineStr">
        <is>
          <t>high</t>
        </is>
      </c>
      <c r="F24" s="6" t="inlineStr">
        <is>
          <t>No</t>
        </is>
      </c>
      <c r="G24" s="6" t="inlineStr">
        <is>
          <t>rep.a@client-sample.com</t>
        </is>
      </c>
    </row>
    <row r="25">
      <c r="A25" s="6" t="inlineStr">
        <is>
          <t>P07</t>
        </is>
      </c>
      <c r="B25" s="6" t="inlineStr">
        <is>
          <t>Cove Refining</t>
        </is>
      </c>
      <c r="C25" s="6" t="inlineStr">
        <is>
          <t>Passes</t>
        </is>
      </c>
      <c r="D25" s="6" t="inlineStr">
        <is>
          <t>Refining (core)</t>
        </is>
      </c>
      <c r="E25" s="6" t="inlineStr">
        <is>
          <t>high</t>
        </is>
      </c>
      <c r="F25" s="6" t="inlineStr">
        <is>
          <t>No</t>
        </is>
      </c>
      <c r="G25" s="6" t="inlineStr">
        <is>
          <t>rep.a@client-sample.com</t>
        </is>
      </c>
    </row>
    <row r="26">
      <c r="A26" s="6" t="inlineStr">
        <is>
          <t>P07</t>
        </is>
      </c>
      <c r="B26" s="6" t="inlineStr">
        <is>
          <t>Dune Refining</t>
        </is>
      </c>
      <c r="C26" s="6" t="inlineStr">
        <is>
          <t>Passes</t>
        </is>
      </c>
      <c r="D26" s="6" t="inlineStr">
        <is>
          <t>Refining (core)</t>
        </is>
      </c>
      <c r="E26" s="6" t="inlineStr">
        <is>
          <t>high</t>
        </is>
      </c>
      <c r="F26" s="6" t="inlineStr">
        <is>
          <t>No</t>
        </is>
      </c>
      <c r="G26" s="6" t="inlineStr">
        <is>
          <t>rep.a@client-sample.com</t>
        </is>
      </c>
    </row>
    <row r="27">
      <c r="A27" s="6" t="inlineStr">
        <is>
          <t>P07</t>
        </is>
      </c>
      <c r="B27" s="6" t="inlineStr">
        <is>
          <t>Ember Refining</t>
        </is>
      </c>
      <c r="C27" s="6" t="inlineStr">
        <is>
          <t>Passes</t>
        </is>
      </c>
      <c r="D27" s="6" t="inlineStr">
        <is>
          <t>Refining (core)</t>
        </is>
      </c>
      <c r="E27" s="6" t="inlineStr">
        <is>
          <t>high</t>
        </is>
      </c>
      <c r="F27" s="6" t="inlineStr">
        <is>
          <t>No</t>
        </is>
      </c>
      <c r="G27" s="6" t="inlineStr">
        <is>
          <t>rep.a@client-sample.com</t>
        </is>
      </c>
    </row>
    <row r="28">
      <c r="A28" s="6" t="inlineStr">
        <is>
          <t>P07</t>
        </is>
      </c>
      <c r="B28" s="6" t="inlineStr">
        <is>
          <t>Flint Refining</t>
        </is>
      </c>
      <c r="C28" s="6" t="inlineStr">
        <is>
          <t>Passes</t>
        </is>
      </c>
      <c r="D28" s="6" t="inlineStr">
        <is>
          <t>Refining (core)</t>
        </is>
      </c>
      <c r="E28" s="6" t="inlineStr">
        <is>
          <t>high</t>
        </is>
      </c>
      <c r="F28" s="6" t="inlineStr">
        <is>
          <t>No</t>
        </is>
      </c>
      <c r="G28" s="6" t="inlineStr">
        <is>
          <t>rep.a@client-sample.com</t>
        </is>
      </c>
    </row>
    <row r="29">
      <c r="A29" s="6" t="inlineStr">
        <is>
          <t>P07</t>
        </is>
      </c>
      <c r="B29" s="6" t="inlineStr">
        <is>
          <t>Grove Refining</t>
        </is>
      </c>
      <c r="C29" s="6" t="inlineStr">
        <is>
          <t>Passes</t>
        </is>
      </c>
      <c r="D29" s="6" t="inlineStr">
        <is>
          <t>Refining (core)</t>
        </is>
      </c>
      <c r="E29" s="6" t="inlineStr">
        <is>
          <t>high</t>
        </is>
      </c>
      <c r="F29" s="6" t="inlineStr">
        <is>
          <t>No</t>
        </is>
      </c>
      <c r="G29" s="6" t="inlineStr">
        <is>
          <t>rep.a@client-sample.com</t>
        </is>
      </c>
    </row>
    <row r="30">
      <c r="A30" s="6" t="inlineStr">
        <is>
          <t>P07</t>
        </is>
      </c>
      <c r="B30" s="6" t="inlineStr">
        <is>
          <t>Haven Refining</t>
        </is>
      </c>
      <c r="C30" s="6" t="inlineStr">
        <is>
          <t>Passes</t>
        </is>
      </c>
      <c r="D30" s="6" t="inlineStr">
        <is>
          <t>Refining (core)</t>
        </is>
      </c>
      <c r="E30" s="6" t="inlineStr">
        <is>
          <t>high</t>
        </is>
      </c>
      <c r="F30" s="6" t="inlineStr">
        <is>
          <t>No</t>
        </is>
      </c>
      <c r="G30" s="6" t="inlineStr">
        <is>
          <t>rep.a@client-sample.com</t>
        </is>
      </c>
    </row>
    <row r="31">
      <c r="A31" s="4" t="inlineStr">
        <is>
          <t>P08</t>
        </is>
      </c>
      <c r="B31" s="4" t="inlineStr">
        <is>
          <t>Isle Refining</t>
        </is>
      </c>
      <c r="C31" s="4" t="inlineStr">
        <is>
          <t>Passes</t>
        </is>
      </c>
      <c r="D31" s="4" t="inlineStr">
        <is>
          <t>Refining (core)</t>
        </is>
      </c>
      <c r="E31" s="4" t="inlineStr">
        <is>
          <t>high</t>
        </is>
      </c>
      <c r="F31" s="4" t="inlineStr">
        <is>
          <t>No</t>
        </is>
      </c>
      <c r="G31" s="4" t="inlineStr">
        <is>
          <t>rep.a@client-sample.com</t>
        </is>
      </c>
    </row>
    <row r="32">
      <c r="A32" s="4" t="inlineStr">
        <is>
          <t>P08</t>
        </is>
      </c>
      <c r="B32" s="4" t="inlineStr">
        <is>
          <t>Jade Refining</t>
        </is>
      </c>
      <c r="C32" s="4" t="inlineStr">
        <is>
          <t>Passes</t>
        </is>
      </c>
      <c r="D32" s="4" t="inlineStr">
        <is>
          <t>Refining (core)</t>
        </is>
      </c>
      <c r="E32" s="4" t="inlineStr">
        <is>
          <t>high</t>
        </is>
      </c>
      <c r="F32" s="4" t="inlineStr">
        <is>
          <t>No</t>
        </is>
      </c>
      <c r="G32" s="4" t="inlineStr">
        <is>
          <t>rep.a@client-sample.com</t>
        </is>
      </c>
    </row>
    <row r="33">
      <c r="A33" s="4" t="inlineStr">
        <is>
          <t>P08</t>
        </is>
      </c>
      <c r="B33" s="4" t="inlineStr">
        <is>
          <t>Kite Refining</t>
        </is>
      </c>
      <c r="C33" s="4" t="inlineStr">
        <is>
          <t>Passes</t>
        </is>
      </c>
      <c r="D33" s="4" t="inlineStr">
        <is>
          <t>Refining (core)</t>
        </is>
      </c>
      <c r="E33" s="4" t="inlineStr">
        <is>
          <t>high</t>
        </is>
      </c>
      <c r="F33" s="4" t="inlineStr">
        <is>
          <t>No</t>
        </is>
      </c>
      <c r="G33" s="4" t="inlineStr">
        <is>
          <t>rep.a@client-sample.com</t>
        </is>
      </c>
    </row>
    <row r="34">
      <c r="A34" s="4" t="inlineStr">
        <is>
          <t>P08</t>
        </is>
      </c>
      <c r="B34" s="4" t="inlineStr">
        <is>
          <t>Lumen Refining</t>
        </is>
      </c>
      <c r="C34" s="4" t="inlineStr">
        <is>
          <t>Passes</t>
        </is>
      </c>
      <c r="D34" s="4" t="inlineStr">
        <is>
          <t>Refining (core)</t>
        </is>
      </c>
      <c r="E34" s="4" t="inlineStr">
        <is>
          <t>high</t>
        </is>
      </c>
      <c r="F34" s="4" t="inlineStr">
        <is>
          <t>No</t>
        </is>
      </c>
      <c r="G34" s="4" t="inlineStr">
        <is>
          <t>rep.a@client-sample.com</t>
        </is>
      </c>
    </row>
    <row r="35">
      <c r="A35" s="4" t="inlineStr">
        <is>
          <t>P08</t>
        </is>
      </c>
      <c r="B35" s="4" t="inlineStr">
        <is>
          <t>Mist Refining</t>
        </is>
      </c>
      <c r="C35" s="4" t="inlineStr">
        <is>
          <t>Passes</t>
        </is>
      </c>
      <c r="D35" s="4" t="inlineStr">
        <is>
          <t>Refining (core)</t>
        </is>
      </c>
      <c r="E35" s="4" t="inlineStr">
        <is>
          <t>high</t>
        </is>
      </c>
      <c r="F35" s="4" t="inlineStr">
        <is>
          <t>No</t>
        </is>
      </c>
      <c r="G35" s="4" t="inlineStr">
        <is>
          <t>rep.a@client-sample.com</t>
        </is>
      </c>
    </row>
    <row r="36">
      <c r="A36" s="4" t="inlineStr">
        <is>
          <t>P08</t>
        </is>
      </c>
      <c r="B36" s="4" t="inlineStr">
        <is>
          <t>Nova Refining</t>
        </is>
      </c>
      <c r="C36" s="4" t="inlineStr">
        <is>
          <t>Passes</t>
        </is>
      </c>
      <c r="D36" s="4" t="inlineStr">
        <is>
          <t>Refining (core)</t>
        </is>
      </c>
      <c r="E36" s="4" t="inlineStr">
        <is>
          <t>high</t>
        </is>
      </c>
      <c r="F36" s="4" t="inlineStr">
        <is>
          <t>No</t>
        </is>
      </c>
      <c r="G36" s="4" t="inlineStr">
        <is>
          <t>rep.a@client-sample.com</t>
        </is>
      </c>
    </row>
    <row r="37">
      <c r="A37" s="4" t="inlineStr">
        <is>
          <t>P08</t>
        </is>
      </c>
      <c r="B37" s="4" t="inlineStr">
        <is>
          <t>Orchid Refining</t>
        </is>
      </c>
      <c r="C37" s="4" t="inlineStr">
        <is>
          <t>Passes</t>
        </is>
      </c>
      <c r="D37" s="4" t="inlineStr">
        <is>
          <t>Refining (core)</t>
        </is>
      </c>
      <c r="E37" s="4" t="inlineStr">
        <is>
          <t>high</t>
        </is>
      </c>
      <c r="F37" s="4" t="inlineStr">
        <is>
          <t>No</t>
        </is>
      </c>
      <c r="G37" s="4" t="inlineStr">
        <is>
          <t>rep.a@client-sample.com</t>
        </is>
      </c>
    </row>
    <row r="38">
      <c r="A38" s="4" t="inlineStr">
        <is>
          <t>P08</t>
        </is>
      </c>
      <c r="B38" s="4" t="inlineStr">
        <is>
          <t>Pearl Refining</t>
        </is>
      </c>
      <c r="C38" s="4" t="inlineStr">
        <is>
          <t>Passes</t>
        </is>
      </c>
      <c r="D38" s="4" t="inlineStr">
        <is>
          <t>Refining (core)</t>
        </is>
      </c>
      <c r="E38" s="4" t="inlineStr">
        <is>
          <t>high</t>
        </is>
      </c>
      <c r="F38" s="4" t="inlineStr">
        <is>
          <t>No</t>
        </is>
      </c>
      <c r="G38" s="4" t="inlineStr">
        <is>
          <t>rep.a@client-sample.com</t>
        </is>
      </c>
    </row>
    <row r="39">
      <c r="A39" s="4" t="inlineStr">
        <is>
          <t>P08</t>
        </is>
      </c>
      <c r="B39" s="4" t="inlineStr">
        <is>
          <t>Quill Refining</t>
        </is>
      </c>
      <c r="C39" s="4" t="inlineStr">
        <is>
          <t>Passes</t>
        </is>
      </c>
      <c r="D39" s="4" t="inlineStr">
        <is>
          <t>Refining (core)</t>
        </is>
      </c>
      <c r="E39" s="4" t="inlineStr">
        <is>
          <t>high</t>
        </is>
      </c>
      <c r="F39" s="4" t="inlineStr">
        <is>
          <t>No</t>
        </is>
      </c>
      <c r="G39" s="4" t="inlineStr">
        <is>
          <t>rep.a@client-sample.com</t>
        </is>
      </c>
    </row>
    <row r="40">
      <c r="A40" s="6" t="inlineStr">
        <is>
          <t>P09</t>
        </is>
      </c>
      <c r="B40" s="6" t="inlineStr">
        <is>
          <t>Reef Refining</t>
        </is>
      </c>
      <c r="C40" s="6" t="inlineStr">
        <is>
          <t>Passes</t>
        </is>
      </c>
      <c r="D40" s="6" t="inlineStr">
        <is>
          <t>Refining (core)</t>
        </is>
      </c>
      <c r="E40" s="6" t="inlineStr">
        <is>
          <t>high</t>
        </is>
      </c>
      <c r="F40" s="6" t="inlineStr">
        <is>
          <t>No</t>
        </is>
      </c>
      <c r="G40" s="6" t="inlineStr">
        <is>
          <t>rep.a@client-sample.com</t>
        </is>
      </c>
    </row>
    <row r="41">
      <c r="A41" s="6" t="inlineStr">
        <is>
          <t>P09</t>
        </is>
      </c>
      <c r="B41" s="6" t="inlineStr">
        <is>
          <t>Sable Engineering</t>
        </is>
      </c>
      <c r="C41" s="6" t="inlineStr">
        <is>
          <t>Passes</t>
        </is>
      </c>
      <c r="D41" s="6" t="inlineStr">
        <is>
          <t>Refining (core)</t>
        </is>
      </c>
      <c r="E41" s="6" t="inlineStr">
        <is>
          <t>high</t>
        </is>
      </c>
      <c r="F41" s="6" t="inlineStr">
        <is>
          <t>No</t>
        </is>
      </c>
      <c r="G41" s="6" t="inlineStr">
        <is>
          <t>rep.a@client-sample.com</t>
        </is>
      </c>
    </row>
    <row r="42">
      <c r="A42" s="6" t="inlineStr">
        <is>
          <t>P09</t>
        </is>
      </c>
      <c r="B42" s="6" t="inlineStr">
        <is>
          <t>Tern Systems</t>
        </is>
      </c>
      <c r="C42" s="6" t="inlineStr">
        <is>
          <t>Passes</t>
        </is>
      </c>
      <c r="D42" s="6" t="inlineStr">
        <is>
          <t>Refining (core)</t>
        </is>
      </c>
      <c r="E42" s="6" t="inlineStr">
        <is>
          <t>high</t>
        </is>
      </c>
      <c r="F42" s="6" t="inlineStr">
        <is>
          <t>No</t>
        </is>
      </c>
      <c r="G42" s="6" t="inlineStr">
        <is>
          <t>rep.a@client-sample.com</t>
        </is>
      </c>
    </row>
    <row r="43">
      <c r="A43" s="6" t="inlineStr">
        <is>
          <t>P09</t>
        </is>
      </c>
      <c r="B43" s="6" t="inlineStr">
        <is>
          <t>Umber Supply</t>
        </is>
      </c>
      <c r="C43" s="6" t="inlineStr">
        <is>
          <t>Passes</t>
        </is>
      </c>
      <c r="D43" s="6" t="inlineStr">
        <is>
          <t>Refining (core)</t>
        </is>
      </c>
      <c r="E43" s="6" t="inlineStr">
        <is>
          <t>high</t>
        </is>
      </c>
      <c r="F43" s="6" t="inlineStr">
        <is>
          <t>No</t>
        </is>
      </c>
      <c r="G43" s="6" t="inlineStr">
        <is>
          <t>rep.a@client-sample.com</t>
        </is>
      </c>
    </row>
    <row r="44">
      <c r="A44" s="6" t="inlineStr">
        <is>
          <t>P09</t>
        </is>
      </c>
      <c r="B44" s="6" t="inlineStr">
        <is>
          <t>Vale Holdings</t>
        </is>
      </c>
      <c r="C44" s="6" t="inlineStr">
        <is>
          <t>Passes</t>
        </is>
      </c>
      <c r="D44" s="6" t="inlineStr">
        <is>
          <t>Refining (core)</t>
        </is>
      </c>
      <c r="E44" s="6" t="inlineStr">
        <is>
          <t>high</t>
        </is>
      </c>
      <c r="F44" s="6" t="inlineStr">
        <is>
          <t>No</t>
        </is>
      </c>
      <c r="G44" s="6" t="inlineStr">
        <is>
          <t>rep.a@client-sample.com</t>
        </is>
      </c>
    </row>
    <row r="45">
      <c r="A45" s="6" t="inlineStr">
        <is>
          <t>P09</t>
        </is>
      </c>
      <c r="B45" s="6" t="inlineStr">
        <is>
          <t>Wren Refining</t>
        </is>
      </c>
      <c r="C45" s="6" t="inlineStr">
        <is>
          <t>Passes</t>
        </is>
      </c>
      <c r="D45" s="6" t="inlineStr">
        <is>
          <t>Refining (core)</t>
        </is>
      </c>
      <c r="E45" s="6" t="inlineStr">
        <is>
          <t>high</t>
        </is>
      </c>
      <c r="F45" s="6" t="inlineStr">
        <is>
          <t>No</t>
        </is>
      </c>
      <c r="G45" s="6" t="inlineStr">
        <is>
          <t>rep.a@client-sample.com</t>
        </is>
      </c>
    </row>
    <row r="46">
      <c r="A46" s="6" t="inlineStr">
        <is>
          <t>P09</t>
        </is>
      </c>
      <c r="B46" s="6" t="inlineStr">
        <is>
          <t>Yarrow Trading</t>
        </is>
      </c>
      <c r="C46" s="6" t="inlineStr">
        <is>
          <t>Passes</t>
        </is>
      </c>
      <c r="D46" s="6" t="inlineStr">
        <is>
          <t>Refining (core)</t>
        </is>
      </c>
      <c r="E46" s="6" t="inlineStr">
        <is>
          <t>high</t>
        </is>
      </c>
      <c r="F46" s="6" t="inlineStr">
        <is>
          <t>No</t>
        </is>
      </c>
      <c r="G46" s="6" t="inlineStr">
        <is>
          <t>rep.a@client-sample.com</t>
        </is>
      </c>
    </row>
    <row r="47">
      <c r="A47" s="6" t="inlineStr">
        <is>
          <t>P09</t>
        </is>
      </c>
      <c r="B47" s="6" t="inlineStr">
        <is>
          <t>Zephyr Refining</t>
        </is>
      </c>
      <c r="C47" s="6" t="inlineStr">
        <is>
          <t>Passes</t>
        </is>
      </c>
      <c r="D47" s="6" t="inlineStr">
        <is>
          <t>Refining (core)</t>
        </is>
      </c>
      <c r="E47" s="6" t="inlineStr">
        <is>
          <t>high</t>
        </is>
      </c>
      <c r="F47" s="6" t="inlineStr">
        <is>
          <t>No</t>
        </is>
      </c>
      <c r="G47" s="6" t="inlineStr">
        <is>
          <t>rep.a@client-sample.com</t>
        </is>
      </c>
    </row>
    <row r="48">
      <c r="A48" s="4" t="inlineStr">
        <is>
          <t>P10</t>
        </is>
      </c>
      <c r="B48" s="4" t="inlineStr">
        <is>
          <t>Aster Refining</t>
        </is>
      </c>
      <c r="C48" s="4" t="inlineStr">
        <is>
          <t>Passes</t>
        </is>
      </c>
      <c r="D48" s="4" t="inlineStr">
        <is>
          <t>Refining (core)</t>
        </is>
      </c>
      <c r="E48" s="4" t="inlineStr">
        <is>
          <t>high</t>
        </is>
      </c>
      <c r="F48" s="4" t="inlineStr">
        <is>
          <t>No</t>
        </is>
      </c>
      <c r="G48" s="4" t="inlineStr">
        <is>
          <t>rep.a@client-sample.com</t>
        </is>
      </c>
    </row>
    <row r="49">
      <c r="A49" s="4" t="inlineStr">
        <is>
          <t>P10</t>
        </is>
      </c>
      <c r="B49" s="4" t="inlineStr">
        <is>
          <t>Birch Petrochem</t>
        </is>
      </c>
      <c r="C49" s="4" t="inlineStr">
        <is>
          <t>Passes</t>
        </is>
      </c>
      <c r="D49" s="4" t="inlineStr">
        <is>
          <t>Petrochemicals (adjacent)</t>
        </is>
      </c>
      <c r="E49" s="4" t="inlineStr">
        <is>
          <t>medium</t>
        </is>
      </c>
      <c r="F49" s="4" t="inlineStr">
        <is>
          <t>No</t>
        </is>
      </c>
      <c r="G49" s="4" t="inlineStr">
        <is>
          <t>rep.a@client-sample.com</t>
        </is>
      </c>
    </row>
    <row r="50">
      <c r="A50" s="4" t="inlineStr">
        <is>
          <t>P10</t>
        </is>
      </c>
      <c r="B50" s="4" t="inlineStr">
        <is>
          <t>Cirrus LNG</t>
        </is>
      </c>
      <c r="C50" s="4" t="inlineStr">
        <is>
          <t>Passes</t>
        </is>
      </c>
      <c r="D50" s="4" t="inlineStr">
        <is>
          <t>Gas processing (adjacent)</t>
        </is>
      </c>
      <c r="E50" s="4" t="inlineStr">
        <is>
          <t>high</t>
        </is>
      </c>
      <c r="F50" s="4" t="inlineStr">
        <is>
          <t>No</t>
        </is>
      </c>
      <c r="G50" s="4" t="inlineStr">
        <is>
          <t>rep.a@client-sample.com</t>
        </is>
      </c>
    </row>
    <row r="51">
      <c r="A51" s="4" t="inlineStr">
        <is>
          <t>P10</t>
        </is>
      </c>
      <c r="B51" s="4" t="inlineStr">
        <is>
          <t>Delta Gas</t>
        </is>
      </c>
      <c r="C51" s="4" t="inlineStr">
        <is>
          <t>Passes</t>
        </is>
      </c>
      <c r="D51" s="4" t="inlineStr">
        <is>
          <t>Gas processing (adjacent)</t>
        </is>
      </c>
      <c r="E51" s="4" t="inlineStr">
        <is>
          <t>high</t>
        </is>
      </c>
      <c r="F51" s="4" t="inlineStr">
        <is>
          <t>No</t>
        </is>
      </c>
      <c r="G51" s="4" t="inlineStr">
        <is>
          <t>rep.a@client-sample.com</t>
        </is>
      </c>
    </row>
    <row r="52">
      <c r="A52" s="4" t="inlineStr">
        <is>
          <t>P10</t>
        </is>
      </c>
      <c r="B52" s="4" t="inlineStr">
        <is>
          <t>Echo Water</t>
        </is>
      </c>
      <c r="C52" s="4" t="inlineStr">
        <is>
          <t>Passes</t>
        </is>
      </c>
      <c r="D52" s="4" t="inlineStr">
        <is>
          <t>Other (other)</t>
        </is>
      </c>
      <c r="E52" s="4" t="inlineStr">
        <is>
          <t>low</t>
        </is>
      </c>
      <c r="F52" s="4" t="inlineStr">
        <is>
          <t>Yes</t>
        </is>
      </c>
      <c r="G52" s="4" t="inlineStr">
        <is>
          <t>rep.a@client-sample.com</t>
        </is>
      </c>
    </row>
    <row r="53">
      <c r="A53" s="4" t="inlineStr">
        <is>
          <t>P10</t>
        </is>
      </c>
      <c r="B53" s="4" t="inlineStr">
        <is>
          <t>Flint Energy</t>
        </is>
      </c>
      <c r="C53" s="4" t="inlineStr">
        <is>
          <t>Passes</t>
        </is>
      </c>
      <c r="D53" s="4" t="inlineStr">
        <is>
          <t>Refining (core)</t>
        </is>
      </c>
      <c r="E53" s="4" t="inlineStr">
        <is>
          <t>medium</t>
        </is>
      </c>
      <c r="F53" s="4" t="inlineStr">
        <is>
          <t>No</t>
        </is>
      </c>
      <c r="G53" s="4" t="inlineStr">
        <is>
          <t>rep.a@client-sample.com</t>
        </is>
      </c>
    </row>
    <row r="54">
      <c r="A54" s="4" t="inlineStr">
        <is>
          <t>P10</t>
        </is>
      </c>
      <c r="B54" s="4" t="inlineStr">
        <is>
          <t>Gale Energy</t>
        </is>
      </c>
      <c r="C54" s="4" t="inlineStr">
        <is>
          <t>Passes</t>
        </is>
      </c>
      <c r="D54" s="4" t="inlineStr">
        <is>
          <t>Refining (core)</t>
        </is>
      </c>
      <c r="E54" s="4" t="inlineStr">
        <is>
          <t>medium</t>
        </is>
      </c>
      <c r="F54" s="4" t="inlineStr">
        <is>
          <t>No</t>
        </is>
      </c>
      <c r="G54" s="4" t="inlineStr">
        <is>
          <t>rep.a@client-sample.com</t>
        </is>
      </c>
    </row>
    <row r="55">
      <c r="A55" s="4" t="inlineStr">
        <is>
          <t>P10</t>
        </is>
      </c>
      <c r="B55" s="4" t="inlineStr">
        <is>
          <t>Halo Chemicals</t>
        </is>
      </c>
      <c r="C55" s="4" t="inlineStr">
        <is>
          <t>Passes</t>
        </is>
      </c>
      <c r="D55" s="4" t="inlineStr">
        <is>
          <t>Other (other)</t>
        </is>
      </c>
      <c r="E55" s="4" t="inlineStr">
        <is>
          <t>low</t>
        </is>
      </c>
      <c r="F55" s="4" t="inlineStr">
        <is>
          <t>Yes</t>
        </is>
      </c>
      <c r="G55" s="4" t="inlineStr">
        <is>
          <t>rep.a@client-sample.com</t>
        </is>
      </c>
    </row>
    <row r="56">
      <c r="A56" s="6" t="inlineStr">
        <is>
          <t>P11</t>
        </is>
      </c>
      <c r="B56" s="6" t="inlineStr">
        <is>
          <t>Titan Refining</t>
        </is>
      </c>
      <c r="C56" s="6" t="inlineStr">
        <is>
          <t>Passes</t>
        </is>
      </c>
      <c r="D56" s="6" t="inlineStr">
        <is>
          <t>Refining (core)</t>
        </is>
      </c>
      <c r="E56" s="6" t="inlineStr">
        <is>
          <t>high</t>
        </is>
      </c>
      <c r="F56" s="6" t="inlineStr">
        <is>
          <t>No</t>
        </is>
      </c>
      <c r="G56" s="6" t="inlineStr">
        <is>
          <t>rep.a@client-sample.com</t>
        </is>
      </c>
    </row>
    <row r="57">
      <c r="A57" s="4" t="inlineStr">
        <is>
          <t>P12</t>
        </is>
      </c>
      <c r="B57" s="4" t="inlineStr">
        <is>
          <t>Arc Refining</t>
        </is>
      </c>
      <c r="C57" s="4" t="inlineStr">
        <is>
          <t>Passes</t>
        </is>
      </c>
      <c r="D57" s="4" t="inlineStr">
        <is>
          <t>Refining (core)</t>
        </is>
      </c>
      <c r="E57" s="4" t="inlineStr">
        <is>
          <t>high</t>
        </is>
      </c>
      <c r="F57" s="4" t="inlineStr">
        <is>
          <t>No</t>
        </is>
      </c>
      <c r="G57" s="4" t="inlineStr">
        <is>
          <t>rep.a@client-sample.com</t>
        </is>
      </c>
    </row>
    <row r="58">
      <c r="A58" s="4" t="inlineStr">
        <is>
          <t>P12</t>
        </is>
      </c>
      <c r="B58" s="4" t="inlineStr">
        <is>
          <t>Bay Refining</t>
        </is>
      </c>
      <c r="C58" s="4" t="inlineStr">
        <is>
          <t>Passes</t>
        </is>
      </c>
      <c r="D58" s="4" t="inlineStr">
        <is>
          <t>Refining (core)</t>
        </is>
      </c>
      <c r="E58" s="4" t="inlineStr">
        <is>
          <t>high</t>
        </is>
      </c>
      <c r="F58" s="4" t="inlineStr">
        <is>
          <t>No</t>
        </is>
      </c>
      <c r="G58" s="4" t="inlineStr">
        <is>
          <t>rep.b@client-sample.com</t>
        </is>
      </c>
    </row>
    <row r="59">
      <c r="A59" s="4" t="inlineStr">
        <is>
          <t>P12</t>
        </is>
      </c>
      <c r="B59" s="4" t="inlineStr">
        <is>
          <t>Cove Fuels</t>
        </is>
      </c>
      <c r="C59" s="4" t="inlineStr">
        <is>
          <t>Passes</t>
        </is>
      </c>
      <c r="D59" s="4" t="inlineStr">
        <is>
          <t>Refining (core)</t>
        </is>
      </c>
      <c r="E59" s="4" t="inlineStr">
        <is>
          <t>high</t>
        </is>
      </c>
      <c r="F59" s="4" t="inlineStr">
        <is>
          <t>No</t>
        </is>
      </c>
      <c r="G59" s="4" t="inlineStr">
        <is>
          <t>rep.a@client-sample.com</t>
        </is>
      </c>
    </row>
    <row r="60">
      <c r="A60" s="4" t="inlineStr">
        <is>
          <t>P12</t>
        </is>
      </c>
      <c r="B60" s="4" t="inlineStr">
        <is>
          <t>Dune Fuels</t>
        </is>
      </c>
      <c r="C60" s="4" t="inlineStr">
        <is>
          <t>Passes</t>
        </is>
      </c>
      <c r="D60" s="4" t="inlineStr">
        <is>
          <t>Refining (core)</t>
        </is>
      </c>
      <c r="E60" s="4" t="inlineStr">
        <is>
          <t>high</t>
        </is>
      </c>
      <c r="F60" s="4" t="inlineStr">
        <is>
          <t>No</t>
        </is>
      </c>
      <c r="G60" s="4" t="inlineStr">
        <is>
          <t>(none)</t>
        </is>
      </c>
    </row>
    <row r="61">
      <c r="A61" s="4" t="inlineStr">
        <is>
          <t>P12</t>
        </is>
      </c>
      <c r="B61" s="4" t="inlineStr">
        <is>
          <t>Ember Fuels</t>
        </is>
      </c>
      <c r="C61" s="4" t="inlineStr">
        <is>
          <t>Passes</t>
        </is>
      </c>
      <c r="D61" s="4" t="inlineStr">
        <is>
          <t>Refining (core)</t>
        </is>
      </c>
      <c r="E61" s="4" t="inlineStr">
        <is>
          <t>high</t>
        </is>
      </c>
      <c r="F61" s="4" t="inlineStr">
        <is>
          <t>No</t>
        </is>
      </c>
      <c r="G61" s="4" t="inlineStr">
        <is>
          <t>rep a</t>
        </is>
      </c>
    </row>
    <row r="62">
      <c r="A62" s="4" t="inlineStr">
        <is>
          <t>P12</t>
        </is>
      </c>
      <c r="B62" s="4" t="inlineStr">
        <is>
          <t>Flint Fuels</t>
        </is>
      </c>
      <c r="C62" s="4" t="inlineStr">
        <is>
          <t>Passes</t>
        </is>
      </c>
      <c r="D62" s="4" t="inlineStr">
        <is>
          <t>Refining (core)</t>
        </is>
      </c>
      <c r="E62" s="4" t="inlineStr">
        <is>
          <t>high</t>
        </is>
      </c>
      <c r="F62" s="4" t="inlineStr">
        <is>
          <t>No</t>
        </is>
      </c>
      <c r="G62" s="4" t="inlineStr">
        <is>
          <t>rep.a@client-sample</t>
        </is>
      </c>
    </row>
    <row r="63">
      <c r="A63" s="6" t="inlineStr">
        <is>
          <t>P13</t>
        </is>
      </c>
      <c r="B63" s="6" t="inlineStr">
        <is>
          <t>Ridge Refining</t>
        </is>
      </c>
      <c r="C63" s="6" t="inlineStr">
        <is>
          <t>Passes</t>
        </is>
      </c>
      <c r="D63" s="6" t="inlineStr">
        <is>
          <t>Refining (core)</t>
        </is>
      </c>
      <c r="E63" s="6" t="inlineStr">
        <is>
          <t>high</t>
        </is>
      </c>
      <c r="F63" s="6" t="inlineStr">
        <is>
          <t>No</t>
        </is>
      </c>
      <c r="G63" s="6" t="inlineStr">
        <is>
          <t>rep.a@client-sample.com</t>
        </is>
      </c>
    </row>
    <row r="64">
      <c r="A64" s="4" t="inlineStr">
        <is>
          <t>P14</t>
        </is>
      </c>
      <c r="B64" s="4" t="inlineStr">
        <is>
          <t>Upland Refining</t>
        </is>
      </c>
      <c r="C64" s="4" t="inlineStr">
        <is>
          <t>Passes</t>
        </is>
      </c>
      <c r="D64" s="4" t="inlineStr">
        <is>
          <t>Refining (core)</t>
        </is>
      </c>
      <c r="E64" s="4" t="inlineStr">
        <is>
          <t>high</t>
        </is>
      </c>
      <c r="F64" s="4" t="inlineStr">
        <is>
          <t>No</t>
        </is>
      </c>
      <c r="G64" s="4" t="inlineStr">
        <is>
          <t>rep.a@client-sample.com</t>
        </is>
      </c>
    </row>
    <row r="65">
      <c r="A65" s="6" t="inlineStr">
        <is>
          <t>P15</t>
        </is>
      </c>
      <c r="B65" s="6" t="inlineStr">
        <is>
          <t>Vista Refining</t>
        </is>
      </c>
      <c r="C65" s="6" t="inlineStr">
        <is>
          <t>Passes</t>
        </is>
      </c>
      <c r="D65" s="6" t="inlineStr">
        <is>
          <t>Refining (core)</t>
        </is>
      </c>
      <c r="E65" s="6" t="inlineStr">
        <is>
          <t>high</t>
        </is>
      </c>
      <c r="F65" s="6" t="inlineStr">
        <is>
          <t>No</t>
        </is>
      </c>
      <c r="G65" s="6" t="inlineStr">
        <is>
          <t>(none)</t>
        </is>
      </c>
    </row>
    <row r="66">
      <c r="A66" s="6" t="inlineStr">
        <is>
          <t>P15</t>
        </is>
      </c>
      <c r="B66" s="6" t="inlineStr">
        <is>
          <t>Wave Refining</t>
        </is>
      </c>
      <c r="C66" s="6" t="inlineStr">
        <is>
          <t>Passes</t>
        </is>
      </c>
      <c r="D66" s="6" t="inlineStr">
        <is>
          <t>Refining (core)</t>
        </is>
      </c>
      <c r="E66" s="6" t="inlineStr">
        <is>
          <t>high</t>
        </is>
      </c>
      <c r="F66" s="6" t="inlineStr">
        <is>
          <t>No</t>
        </is>
      </c>
      <c r="G66" s="6" t="inlineStr">
        <is>
          <t>(none)</t>
        </is>
      </c>
    </row>
    <row r="67">
      <c r="A67" s="4" t="inlineStr">
        <is>
          <t>P17</t>
        </is>
      </c>
      <c r="B67" s="4" t="inlineStr">
        <is>
          <t>Yonder Refining</t>
        </is>
      </c>
      <c r="C67" s="4" t="inlineStr">
        <is>
          <t>Passes</t>
        </is>
      </c>
      <c r="D67" s="4" t="inlineStr">
        <is>
          <t>Refining (core)</t>
        </is>
      </c>
      <c r="E67" s="4" t="inlineStr">
        <is>
          <t>high</t>
        </is>
      </c>
      <c r="F67" s="4" t="inlineStr">
        <is>
          <t>No</t>
        </is>
      </c>
      <c r="G67" s="4" t="inlineStr">
        <is>
          <t>rep.a@client-sample.com</t>
        </is>
      </c>
    </row>
    <row r="68">
      <c r="A68" s="6" t="inlineStr">
        <is>
          <t>P18</t>
        </is>
      </c>
      <c r="B68" s="6" t="inlineStr">
        <is>
          <t>Zenith Refining</t>
        </is>
      </c>
      <c r="C68" s="6" t="inlineStr">
        <is>
          <t>Passes</t>
        </is>
      </c>
      <c r="D68" s="6" t="inlineStr">
        <is>
          <t>Refining (core)</t>
        </is>
      </c>
      <c r="E68" s="6" t="inlineStr">
        <is>
          <t>high</t>
        </is>
      </c>
      <c r="F68" s="6" t="inlineStr">
        <is>
          <t>No</t>
        </is>
      </c>
      <c r="G68" s="6" t="inlineStr">
        <is>
          <t>rep.a@client-sample.com</t>
        </is>
      </c>
    </row>
    <row r="69">
      <c r="A69" s="4" t="inlineStr">
        <is>
          <t>P21</t>
        </is>
      </c>
      <c r="B69" s="4" t="inlineStr">
        <is>
          <t>Aurora Refining</t>
        </is>
      </c>
      <c r="C69" s="4" t="inlineStr">
        <is>
          <t>Passes</t>
        </is>
      </c>
      <c r="D69" s="4" t="inlineStr">
        <is>
          <t>Refining (core)</t>
        </is>
      </c>
      <c r="E69" s="4" t="inlineStr">
        <is>
          <t>high</t>
        </is>
      </c>
      <c r="F69" s="4" t="inlineStr">
        <is>
          <t>No</t>
        </is>
      </c>
      <c r="G69" s="4" t="inlineStr">
        <is>
          <t>rep.a@client-sample.com</t>
        </is>
      </c>
    </row>
    <row r="70">
      <c r="A70" s="6" t="inlineStr">
        <is>
          <t>P22</t>
        </is>
      </c>
      <c r="B70" s="6" t="inlineStr">
        <is>
          <t>Quay Refining, Ltd</t>
        </is>
      </c>
      <c r="C70" s="6" t="inlineStr">
        <is>
          <t>Passes</t>
        </is>
      </c>
      <c r="D70" s="6" t="inlineStr">
        <is>
          <t>Refining (core)</t>
        </is>
      </c>
      <c r="E70" s="6" t="inlineStr">
        <is>
          <t>high</t>
        </is>
      </c>
      <c r="F70" s="6" t="inlineStr">
        <is>
          <t>No</t>
        </is>
      </c>
      <c r="G70" s="6" t="inlineStr">
        <is>
          <t>rep.a@client-sample.com</t>
        </is>
      </c>
    </row>
    <row r="71">
      <c r="A71" s="4" t="inlineStr">
        <is>
          <t>S00</t>
        </is>
      </c>
      <c r="B71" s="4" t="inlineStr">
        <is>
          <t>Apex Refining</t>
        </is>
      </c>
      <c r="C71" s="4" t="inlineStr">
        <is>
          <t>Passes</t>
        </is>
      </c>
      <c r="D71" s="4" t="inlineStr">
        <is>
          <t>Refining (core)</t>
        </is>
      </c>
      <c r="E71" s="4" t="inlineStr">
        <is>
          <t>high</t>
        </is>
      </c>
      <c r="F71" s="4" t="inlineStr">
        <is>
          <t>No</t>
        </is>
      </c>
      <c r="G71" s="4" t="inlineStr">
        <is>
          <t>rep.a@client-sample.com</t>
        </is>
      </c>
    </row>
    <row r="72">
      <c r="A72" s="4" t="inlineStr">
        <is>
          <t>S00</t>
        </is>
      </c>
      <c r="B72" s="4" t="inlineStr">
        <is>
          <t>Bayfront Refining</t>
        </is>
      </c>
      <c r="C72" s="4" t="inlineStr">
        <is>
          <t>Passes</t>
        </is>
      </c>
      <c r="D72" s="4" t="inlineStr">
        <is>
          <t>Refining (core)</t>
        </is>
      </c>
      <c r="E72" s="4" t="inlineStr">
        <is>
          <t>high</t>
        </is>
      </c>
      <c r="F72" s="4" t="inlineStr">
        <is>
          <t>No</t>
        </is>
      </c>
      <c r="G72" s="4" t="inlineStr">
        <is>
          <t>rep.a@client-sample.com</t>
        </is>
      </c>
    </row>
    <row r="73">
      <c r="A73" s="4" t="inlineStr">
        <is>
          <t>S00</t>
        </is>
      </c>
      <c r="B73" s="4" t="inlineStr">
        <is>
          <t>Coldwater Refining</t>
        </is>
      </c>
      <c r="C73" s="4" t="inlineStr">
        <is>
          <t>Passes</t>
        </is>
      </c>
      <c r="D73" s="4" t="inlineStr">
        <is>
          <t>Refining (core)</t>
        </is>
      </c>
      <c r="E73" s="4" t="inlineStr">
        <is>
          <t>high</t>
        </is>
      </c>
      <c r="F73" s="4" t="inlineStr">
        <is>
          <t>No</t>
        </is>
      </c>
      <c r="G73" s="4" t="inlineStr">
        <is>
          <t>rep.a@client-sample.com</t>
        </is>
      </c>
    </row>
    <row r="74">
      <c r="A74" s="4" t="inlineStr">
        <is>
          <t>S00</t>
        </is>
      </c>
      <c r="B74" s="4" t="inlineStr">
        <is>
          <t>Driftwood Refining</t>
        </is>
      </c>
      <c r="C74" s="4" t="inlineStr">
        <is>
          <t>Passes</t>
        </is>
      </c>
      <c r="D74" s="4" t="inlineStr">
        <is>
          <t>Refining (core)</t>
        </is>
      </c>
      <c r="E74" s="4" t="inlineStr">
        <is>
          <t>high</t>
        </is>
      </c>
      <c r="F74" s="4" t="inlineStr">
        <is>
          <t>No</t>
        </is>
      </c>
      <c r="G74" s="4" t="inlineStr">
        <is>
          <t>rep.a@client-sample.com</t>
        </is>
      </c>
    </row>
    <row r="75">
      <c r="A75" s="4" t="inlineStr">
        <is>
          <t>S00</t>
        </is>
      </c>
      <c r="B75" s="4" t="inlineStr">
        <is>
          <t>Eastgate Refining</t>
        </is>
      </c>
      <c r="C75" s="4" t="inlineStr">
        <is>
          <t>Passes</t>
        </is>
      </c>
      <c r="D75" s="4" t="inlineStr">
        <is>
          <t>Refining (core)</t>
        </is>
      </c>
      <c r="E75" s="4" t="inlineStr">
        <is>
          <t>high</t>
        </is>
      </c>
      <c r="F75" s="4" t="inlineStr">
        <is>
          <t>No</t>
        </is>
      </c>
      <c r="G75" s="4" t="inlineStr">
        <is>
          <t>rep.a@client-sample.com</t>
        </is>
      </c>
    </row>
    <row r="76">
      <c r="A76" s="4" t="inlineStr">
        <is>
          <t>S00</t>
        </is>
      </c>
      <c r="B76" s="4" t="inlineStr">
        <is>
          <t>Fairhaven Refining</t>
        </is>
      </c>
      <c r="C76" s="4" t="inlineStr">
        <is>
          <t>Passes</t>
        </is>
      </c>
      <c r="D76" s="4" t="inlineStr">
        <is>
          <t>Refining (core)</t>
        </is>
      </c>
      <c r="E76" s="4" t="inlineStr">
        <is>
          <t>high</t>
        </is>
      </c>
      <c r="F76" s="4" t="inlineStr">
        <is>
          <t>No</t>
        </is>
      </c>
      <c r="G76" s="4" t="inlineStr">
        <is>
          <t>rep.a@client-sample.com</t>
        </is>
      </c>
    </row>
    <row r="77">
      <c r="A77" s="4" t="inlineStr">
        <is>
          <t>S00</t>
        </is>
      </c>
      <c r="B77" s="4" t="inlineStr">
        <is>
          <t>Moorland Refining</t>
        </is>
      </c>
      <c r="C77" s="4" t="inlineStr">
        <is>
          <t>Passes</t>
        </is>
      </c>
      <c r="D77" s="4" t="inlineStr">
        <is>
          <t>Refining (core)</t>
        </is>
      </c>
      <c r="E77" s="4" t="inlineStr">
        <is>
          <t>high</t>
        </is>
      </c>
      <c r="F77" s="4" t="inlineStr">
        <is>
          <t>No</t>
        </is>
      </c>
      <c r="G77" s="4" t="inlineStr">
        <is>
          <t>rep.a@client-sample.com</t>
        </is>
      </c>
    </row>
    <row r="78">
      <c r="A78" s="4" t="inlineStr">
        <is>
          <t>S00</t>
        </is>
      </c>
      <c r="B78" s="4" t="inlineStr">
        <is>
          <t>Pebblebrook Refining</t>
        </is>
      </c>
      <c r="C78" s="4" t="inlineStr">
        <is>
          <t>Passes</t>
        </is>
      </c>
      <c r="D78" s="4" t="inlineStr">
        <is>
          <t>Refining (core)</t>
        </is>
      </c>
      <c r="E78" s="4" t="inlineStr">
        <is>
          <t>high</t>
        </is>
      </c>
      <c r="F78" s="4" t="inlineStr">
        <is>
          <t>No</t>
        </is>
      </c>
      <c r="G78" s="4" t="inlineStr">
        <is>
          <t>rep.a@client-sample.com</t>
        </is>
      </c>
    </row>
    <row r="79">
      <c r="A79" s="4" t="inlineStr">
        <is>
          <t>S00</t>
        </is>
      </c>
      <c r="B79" s="4" t="inlineStr">
        <is>
          <t>Newhaven Petrochem</t>
        </is>
      </c>
      <c r="C79" s="4" t="inlineStr">
        <is>
          <t>Passes</t>
        </is>
      </c>
      <c r="D79" s="4" t="inlineStr">
        <is>
          <t>Petrochemicals (adjacent)</t>
        </is>
      </c>
      <c r="E79" s="4" t="inlineStr">
        <is>
          <t>medium</t>
        </is>
      </c>
      <c r="F79" s="4" t="inlineStr">
        <is>
          <t>No</t>
        </is>
      </c>
      <c r="G79" s="4" t="inlineStr">
        <is>
          <t>rep.a@client-sample.com</t>
        </is>
      </c>
    </row>
    <row r="80">
      <c r="A80" s="4" t="inlineStr">
        <is>
          <t>S00</t>
        </is>
      </c>
      <c r="B80" s="4" t="inlineStr">
        <is>
          <t>Oakridge Water</t>
        </is>
      </c>
      <c r="C80" s="4" t="inlineStr">
        <is>
          <t>Passes</t>
        </is>
      </c>
      <c r="D80" s="4" t="inlineStr">
        <is>
          <t>Other (other)</t>
        </is>
      </c>
      <c r="E80" s="4" t="inlineStr">
        <is>
          <t>low</t>
        </is>
      </c>
      <c r="F80" s="4" t="inlineStr">
        <is>
          <t>Yes</t>
        </is>
      </c>
      <c r="G80" s="4" t="inlineStr">
        <is>
          <t>rep.a@client-sample.com</t>
        </is>
      </c>
    </row>
    <row r="81">
      <c r="A81" s="4" t="inlineStr">
        <is>
          <t>S00</t>
        </is>
      </c>
      <c r="B81" s="4" t="inlineStr">
        <is>
          <t>Quarry Hill Engineering</t>
        </is>
      </c>
      <c r="C81" s="4" t="inlineStr">
        <is>
          <t>Passes</t>
        </is>
      </c>
      <c r="D81" s="4" t="inlineStr">
        <is>
          <t>Refining (core)</t>
        </is>
      </c>
      <c r="E81" s="4" t="inlineStr">
        <is>
          <t>high</t>
        </is>
      </c>
      <c r="F81" s="4" t="inlineStr">
        <is>
          <t>No</t>
        </is>
      </c>
      <c r="G81" s="4" t="inlineStr">
        <is>
          <t>rep.a@client-sample.com</t>
        </is>
      </c>
    </row>
    <row r="82">
      <c r="A82" s="4" t="inlineStr">
        <is>
          <t>S00</t>
        </is>
      </c>
      <c r="B82" s="4" t="inlineStr">
        <is>
          <t>Larkspur Refining</t>
        </is>
      </c>
      <c r="C82" s="4" t="inlineStr">
        <is>
          <t>Passes</t>
        </is>
      </c>
      <c r="D82" s="4" t="inlineStr">
        <is>
          <t>Refining (core)</t>
        </is>
      </c>
      <c r="E82" s="4" t="inlineStr">
        <is>
          <t>high</t>
        </is>
      </c>
      <c r="F82" s="4" t="inlineStr">
        <is>
          <t>No</t>
        </is>
      </c>
      <c r="G82" s="4" t="inlineStr">
        <is>
          <t>rep.a@client-sample.com</t>
        </is>
      </c>
    </row>
    <row r="83">
      <c r="A83" s="4" t="inlineStr">
        <is>
          <t>S00</t>
        </is>
      </c>
      <c r="B83" s="4" t="inlineStr">
        <is>
          <t>Juniper Fuels</t>
        </is>
      </c>
      <c r="C83" s="4" t="inlineStr">
        <is>
          <t>Passes</t>
        </is>
      </c>
      <c r="D83" s="4" t="inlineStr">
        <is>
          <t>Refining (core)</t>
        </is>
      </c>
      <c r="E83" s="4" t="inlineStr">
        <is>
          <t>medium</t>
        </is>
      </c>
      <c r="F83" s="4" t="inlineStr">
        <is>
          <t>No</t>
        </is>
      </c>
      <c r="G83" s="4" t="inlineStr">
        <is>
          <t>rep.a@client-sample.com</t>
        </is>
      </c>
    </row>
    <row r="84">
      <c r="A84" s="4" t="inlineStr">
        <is>
          <t>S00</t>
        </is>
      </c>
      <c r="B84" s="4" t="inlineStr">
        <is>
          <t>Kingsbridge Fuels</t>
        </is>
      </c>
      <c r="C84" s="4" t="inlineStr">
        <is>
          <t>Passes</t>
        </is>
      </c>
      <c r="D84" s="4" t="inlineStr">
        <is>
          <t>Refining (core)</t>
        </is>
      </c>
      <c r="E84" s="4" t="inlineStr">
        <is>
          <t>medium</t>
        </is>
      </c>
      <c r="F84" s="4" t="inlineStr">
        <is>
          <t>No</t>
        </is>
      </c>
      <c r="G84" s="4" t="inlineStr">
        <is>
          <t>rep.a@client-sample.com</t>
        </is>
      </c>
    </row>
    <row r="85">
      <c r="A85" s="4" t="inlineStr">
        <is>
          <t>S00</t>
        </is>
      </c>
      <c r="B85" s="4" t="inlineStr">
        <is>
          <t>Rosewood Refining</t>
        </is>
      </c>
      <c r="C85" s="4" t="inlineStr">
        <is>
          <t>Passes</t>
        </is>
      </c>
      <c r="D85" s="4" t="inlineStr">
        <is>
          <t>Refining (core)</t>
        </is>
      </c>
      <c r="E85" s="4" t="inlineStr">
        <is>
          <t>high</t>
        </is>
      </c>
      <c r="F85" s="4" t="inlineStr">
        <is>
          <t>No</t>
        </is>
      </c>
      <c r="G85" s="4" t="inlineStr">
        <is>
          <t>rep.a@client-sample.com</t>
        </is>
      </c>
    </row>
    <row r="86">
      <c r="A86" s="4" t="inlineStr">
        <is>
          <t>S00</t>
        </is>
      </c>
      <c r="B86" s="4" t="inlineStr">
        <is>
          <t>Stonegate Refining</t>
        </is>
      </c>
      <c r="C86" s="4" t="inlineStr">
        <is>
          <t>Passes</t>
        </is>
      </c>
      <c r="D86" s="4" t="inlineStr">
        <is>
          <t>Refining (core)</t>
        </is>
      </c>
      <c r="E86" s="4" t="inlineStr">
        <is>
          <t>high</t>
        </is>
      </c>
      <c r="F86" s="4" t="inlineStr">
        <is>
          <t>No</t>
        </is>
      </c>
      <c r="G86" s="4" t="inlineStr">
        <is>
          <t>rep.a@client-sample.com</t>
        </is>
      </c>
    </row>
    <row r="87">
      <c r="A87" s="4" t="inlineStr">
        <is>
          <t>S00</t>
        </is>
      </c>
      <c r="B87" s="4" t="inlineStr">
        <is>
          <t>Tidewater Refining</t>
        </is>
      </c>
      <c r="C87" s="4" t="inlineStr">
        <is>
          <t>Excluded: Outside the pilot region (Australia)</t>
        </is>
      </c>
      <c r="D87" s="4" t="inlineStr">
        <is>
          <t>Refining (core)</t>
        </is>
      </c>
      <c r="E87" s="4" t="inlineStr">
        <is>
          <t>high</t>
        </is>
      </c>
      <c r="F87" s="4" t="inlineStr">
        <is>
          <t>No</t>
        </is>
      </c>
      <c r="G87" s="4" t="inlineStr">
        <is>
          <t>rep.a@client-sample.com</t>
        </is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2" customWidth="1" min="4" max="4"/>
    <col width="30" customWidth="1" min="5" max="5"/>
    <col width="46" customWidth="1" min="6" max="6"/>
    <col width="16" customWidth="1" min="7" max="7"/>
    <col width="6" customWidth="1" min="8" max="8"/>
    <col width="50" customWidth="1" min="9" max="9"/>
    <col width="14" customWidth="1" min="10" max="10"/>
    <col width="8" customWidth="1" min="11" max="11"/>
    <col width="8" customWidth="1" min="12" max="12"/>
    <col width="11" customWidth="1" min="13" max="13"/>
    <col width="30" customWidth="1" min="14" max="14"/>
  </cols>
  <sheetData>
    <row r="1">
      <c r="A1" s="3" t="inlineStr">
        <is>
          <t>File</t>
        </is>
      </c>
      <c r="B1" s="3" t="inlineStr">
        <is>
          <t>Score as of</t>
        </is>
      </c>
      <c r="C1" s="3" t="inlineStr">
        <is>
          <t>Row</t>
        </is>
      </c>
      <c r="D1" s="3" t="inlineStr">
        <is>
          <t>Company</t>
        </is>
      </c>
      <c r="E1" s="3" t="inlineStr">
        <is>
          <t>Type of signal</t>
        </is>
      </c>
      <c r="F1" s="3" t="inlineStr">
        <is>
          <t>What the row tests</t>
        </is>
      </c>
      <c r="G1" s="3" t="inlineStr">
        <is>
          <t>Expected status</t>
        </is>
      </c>
      <c r="H1" s="3" t="inlineStr">
        <is>
          <t>Code</t>
        </is>
      </c>
      <c r="I1" s="3" t="inlineStr">
        <is>
          <t>Reason, or who it was given to</t>
        </is>
      </c>
      <c r="J1" s="3" t="inlineStr">
        <is>
          <t>Person</t>
        </is>
      </c>
      <c r="K1" s="3" t="inlineStr">
        <is>
          <t>Age (days)</t>
        </is>
      </c>
      <c r="L1" s="3" t="inlineStr">
        <is>
          <t>Weight</t>
        </is>
      </c>
      <c r="M1" s="3" t="inlineStr">
        <is>
          <t>Status</t>
        </is>
      </c>
      <c r="N1" s="3" t="inlineStr">
        <is>
          <t>What actually happened</t>
        </is>
      </c>
    </row>
    <row r="2">
      <c r="A2" s="6" t="inlineStr">
        <is>
          <t>S01</t>
        </is>
      </c>
      <c r="B2" s="6" t="inlineStr">
        <is>
          <t>2026-10-20</t>
        </is>
      </c>
      <c r="C2" s="6" t="n">
        <v>2</v>
      </c>
      <c r="D2" s="6" t="inlineStr">
        <is>
          <t>Apex Refining</t>
        </is>
      </c>
      <c r="E2" s="6" t="inlineStr">
        <is>
          <t>Inquiry or RFQ</t>
        </is>
      </c>
      <c r="F2" s="6" t="inlineStr">
        <is>
          <t>Apex: fresh inquiry: tier A</t>
        </is>
      </c>
      <c r="G2" s="6" t="inlineStr">
        <is>
          <t>Qualified</t>
        </is>
      </c>
      <c r="H2" s="6" t="inlineStr">
        <is>
          <t>Y2</t>
        </is>
      </c>
      <c r="I2" s="6" t="inlineStr">
        <is>
          <t>Named in the file</t>
        </is>
      </c>
      <c r="J2" s="6" t="inlineStr">
        <is>
          <t>Kai Ong</t>
        </is>
      </c>
      <c r="K2" s="6" t="n">
        <v>5</v>
      </c>
      <c r="L2" s="6" t="n">
        <v>100</v>
      </c>
      <c r="M2" s="7" t="inlineStr">
        <is>
          <t>Not run</t>
        </is>
      </c>
      <c r="N2" s="7" t="inlineStr"/>
    </row>
    <row r="3">
      <c r="A3" s="6" t="inlineStr">
        <is>
          <t>S01</t>
        </is>
      </c>
      <c r="B3" s="6" t="inlineStr">
        <is>
          <t>2026-10-20</t>
        </is>
      </c>
      <c r="C3" s="6" t="n">
        <v>3</v>
      </c>
      <c r="D3" s="6" t="inlineStr">
        <is>
          <t>Bayfront Refining</t>
        </is>
      </c>
      <c r="E3" s="6" t="inlineStr">
        <is>
          <t>Installed system near end of support</t>
        </is>
      </c>
      <c r="F3" s="6" t="inlineStr">
        <is>
          <t>Bayfront: end of support: tier A</t>
        </is>
      </c>
      <c r="G3" s="6" t="inlineStr">
        <is>
          <t>Qualified</t>
        </is>
      </c>
      <c r="H3" s="6" t="inlineStr">
        <is>
          <t>Y1</t>
        </is>
      </c>
      <c r="I3" s="6" t="inlineStr">
        <is>
          <t>Named in the file</t>
        </is>
      </c>
      <c r="J3" s="6" t="inlineStr">
        <is>
          <t>Mia Tan</t>
        </is>
      </c>
      <c r="K3" s="6" t="n">
        <v>120</v>
      </c>
      <c r="L3" s="6" t="n">
        <v>100</v>
      </c>
      <c r="M3" s="7" t="inlineStr">
        <is>
          <t>Not run</t>
        </is>
      </c>
      <c r="N3" s="7" t="inlineStr"/>
    </row>
    <row r="4">
      <c r="A4" s="6" t="inlineStr">
        <is>
          <t>S01</t>
        </is>
      </c>
      <c r="B4" s="6" t="inlineStr">
        <is>
          <t>2026-10-20</t>
        </is>
      </c>
      <c r="C4" s="6" t="n">
        <v>4</v>
      </c>
      <c r="D4" s="6" t="inlineStr">
        <is>
          <t>Coldwater Refining</t>
        </is>
      </c>
      <c r="E4" s="6" t="inlineStr">
        <is>
          <t>Capital project</t>
        </is>
      </c>
      <c r="F4" s="6" t="inlineStr">
        <is>
          <t>Coldwater: capital project (weight 80): tier A</t>
        </is>
      </c>
      <c r="G4" s="6" t="inlineStr">
        <is>
          <t>Qualified</t>
        </is>
      </c>
      <c r="H4" s="6" t="inlineStr">
        <is>
          <t>Y4</t>
        </is>
      </c>
      <c r="I4" s="6" t="inlineStr">
        <is>
          <t>Named in the file</t>
        </is>
      </c>
      <c r="J4" s="6" t="inlineStr">
        <is>
          <t>Oli Ng</t>
        </is>
      </c>
      <c r="K4" s="6" t="n">
        <v>40</v>
      </c>
      <c r="L4" s="6" t="n">
        <v>80</v>
      </c>
      <c r="M4" s="7" t="inlineStr">
        <is>
          <t>Not run</t>
        </is>
      </c>
      <c r="N4" s="7" t="inlineStr"/>
    </row>
    <row r="5">
      <c r="A5" s="6" t="inlineStr">
        <is>
          <t>S01</t>
        </is>
      </c>
      <c r="B5" s="6" t="inlineStr">
        <is>
          <t>2026-10-20</t>
        </is>
      </c>
      <c r="C5" s="6" t="n">
        <v>5</v>
      </c>
      <c r="D5" s="6" t="inlineStr">
        <is>
          <t>Driftwood Refining</t>
        </is>
      </c>
      <c r="E5" s="6" t="inlineStr">
        <is>
          <t>Webinar attended</t>
        </is>
      </c>
      <c r="F5" s="6" t="inlineStr">
        <is>
          <t>Driftwood: webinar: tier B</t>
        </is>
      </c>
      <c r="G5" s="6" t="inlineStr">
        <is>
          <t>Qualified</t>
        </is>
      </c>
      <c r="H5" s="6" t="inlineStr">
        <is>
          <t>C1w</t>
        </is>
      </c>
      <c r="I5" s="6" t="inlineStr">
        <is>
          <t>Named in the file</t>
        </is>
      </c>
      <c r="J5" s="6" t="inlineStr">
        <is>
          <t>Quin Ong</t>
        </is>
      </c>
      <c r="K5" s="6" t="n">
        <v>10</v>
      </c>
      <c r="L5" s="6" t="n">
        <v>60</v>
      </c>
      <c r="M5" s="7" t="inlineStr">
        <is>
          <t>Not run</t>
        </is>
      </c>
      <c r="N5" s="7" t="inlineStr"/>
    </row>
    <row r="6">
      <c r="A6" s="6" t="inlineStr">
        <is>
          <t>S01</t>
        </is>
      </c>
      <c r="B6" s="6" t="inlineStr">
        <is>
          <t>2026-10-20</t>
        </is>
      </c>
      <c r="C6" s="6" t="n">
        <v>6</v>
      </c>
      <c r="D6" s="6" t="inlineStr">
        <is>
          <t>Eastgate Refining</t>
        </is>
      </c>
      <c r="E6" s="6" t="inlineStr">
        <is>
          <t>Email clicked</t>
        </is>
      </c>
      <c r="F6" s="6" t="inlineStr">
        <is>
          <t>Eastgate: one email click: tier C</t>
        </is>
      </c>
      <c r="G6" s="6" t="inlineStr">
        <is>
          <t>Qualified</t>
        </is>
      </c>
      <c r="H6" s="6" t="inlineStr">
        <is>
          <t>C1x</t>
        </is>
      </c>
      <c r="I6" s="6" t="inlineStr">
        <is>
          <t>Named in the file</t>
        </is>
      </c>
      <c r="J6" s="6" t="inlineStr">
        <is>
          <t>Sam Sim</t>
        </is>
      </c>
      <c r="K6" s="6" t="n">
        <v>5</v>
      </c>
      <c r="L6" s="6" t="n">
        <v>30</v>
      </c>
      <c r="M6" s="7" t="inlineStr">
        <is>
          <t>Not run</t>
        </is>
      </c>
      <c r="N6" s="7" t="inlineStr"/>
    </row>
    <row r="7">
      <c r="A7" s="6" t="inlineStr">
        <is>
          <t>S01</t>
        </is>
      </c>
      <c r="B7" s="6" t="inlineStr">
        <is>
          <t>2026-10-20</t>
        </is>
      </c>
      <c r="C7" s="6" t="n">
        <v>7</v>
      </c>
      <c r="D7" s="6" t="inlineStr">
        <is>
          <t>Moorland Refining</t>
        </is>
      </c>
      <c r="E7" s="6" t="inlineStr">
        <is>
          <t>Service contract renewal</t>
        </is>
      </c>
      <c r="F7" s="6" t="inlineStr">
        <is>
          <t>Moorland: service renewal</t>
        </is>
      </c>
      <c r="G7" s="6" t="inlineStr">
        <is>
          <t>Qualified</t>
        </is>
      </c>
      <c r="H7" s="6" t="inlineStr">
        <is>
          <t>Y1</t>
        </is>
      </c>
      <c r="I7" s="6" t="inlineStr">
        <is>
          <t>Named in the file</t>
        </is>
      </c>
      <c r="J7" s="6" t="inlineStr">
        <is>
          <t>Wes Goh</t>
        </is>
      </c>
      <c r="K7" s="6" t="n">
        <v>30</v>
      </c>
      <c r="L7" s="6" t="n">
        <v>60</v>
      </c>
      <c r="M7" s="7" t="inlineStr">
        <is>
          <t>Not run</t>
        </is>
      </c>
      <c r="N7" s="7" t="inlineStr"/>
    </row>
    <row r="8">
      <c r="A8" s="6" t="inlineStr">
        <is>
          <t>S01</t>
        </is>
      </c>
      <c r="B8" s="6" t="inlineStr">
        <is>
          <t>2026-10-20</t>
        </is>
      </c>
      <c r="C8" s="6" t="n">
        <v>8</v>
      </c>
      <c r="D8" s="6" t="inlineStr">
        <is>
          <t>Newhaven Petrochem</t>
        </is>
      </c>
      <c r="E8" s="6" t="inlineStr">
        <is>
          <t>Leadership change</t>
        </is>
      </c>
      <c r="F8" s="6" t="inlineStr">
        <is>
          <t>Newhaven: leadership change</t>
        </is>
      </c>
      <c r="G8" s="6" t="inlineStr">
        <is>
          <t>Qualified</t>
        </is>
      </c>
      <c r="H8" s="6" t="inlineStr">
        <is>
          <t>C1c</t>
        </is>
      </c>
      <c r="I8" s="6" t="inlineStr">
        <is>
          <t>Named in the file</t>
        </is>
      </c>
      <c r="J8" s="6" t="inlineStr">
        <is>
          <t>Yan Lee</t>
        </is>
      </c>
      <c r="K8" s="6" t="n">
        <v>10</v>
      </c>
      <c r="L8" s="6" t="n">
        <v>45</v>
      </c>
      <c r="M8" s="7" t="inlineStr">
        <is>
          <t>Not run</t>
        </is>
      </c>
      <c r="N8" s="7" t="inlineStr"/>
    </row>
    <row r="9">
      <c r="A9" s="6" t="inlineStr">
        <is>
          <t>S01</t>
        </is>
      </c>
      <c r="B9" s="6" t="inlineStr">
        <is>
          <t>2026-10-20</t>
        </is>
      </c>
      <c r="C9" s="6" t="n">
        <v>9</v>
      </c>
      <c r="D9" s="6" t="inlineStr">
        <is>
          <t>Juniper Fuels</t>
        </is>
      </c>
      <c r="E9" s="6" t="inlineStr">
        <is>
          <t>Inquiry or RFQ</t>
        </is>
      </c>
      <c r="F9" s="6" t="inlineStr">
        <is>
          <t>Juniper (fit 50): inquiry</t>
        </is>
      </c>
      <c r="G9" s="6" t="inlineStr">
        <is>
          <t>Qualified</t>
        </is>
      </c>
      <c r="H9" s="6" t="inlineStr">
        <is>
          <t>Y2</t>
        </is>
      </c>
      <c r="I9" s="6" t="inlineStr">
        <is>
          <t>Named in the file</t>
        </is>
      </c>
      <c r="J9" s="6" t="inlineStr">
        <is>
          <t>Cal Ho</t>
        </is>
      </c>
      <c r="K9" s="6" t="n">
        <v>5</v>
      </c>
      <c r="L9" s="6" t="n">
        <v>100</v>
      </c>
      <c r="M9" s="7" t="inlineStr">
        <is>
          <t>Not run</t>
        </is>
      </c>
      <c r="N9" s="7" t="inlineStr"/>
    </row>
    <row r="10">
      <c r="A10" s="6" t="inlineStr">
        <is>
          <t>S01</t>
        </is>
      </c>
      <c r="B10" s="6" t="inlineStr">
        <is>
          <t>2026-10-20</t>
        </is>
      </c>
      <c r="C10" s="6" t="n">
        <v>10</v>
      </c>
      <c r="D10" s="6" t="inlineStr">
        <is>
          <t>Kingsbridge Fuels</t>
        </is>
      </c>
      <c r="E10" s="6" t="inlineStr">
        <is>
          <t>Inquiry or RFQ</t>
        </is>
      </c>
      <c r="F10" s="6" t="inlineStr">
        <is>
          <t>Kingsbridge (fit 49): qualified but not used, below the fit floor</t>
        </is>
      </c>
      <c r="G10" s="6" t="inlineStr">
        <is>
          <t>Not used</t>
        </is>
      </c>
      <c r="H10" s="6" t="inlineStr">
        <is>
          <t>Y2</t>
        </is>
      </c>
      <c r="I10" s="6" t="inlineStr">
        <is>
          <t>Qualified, but the account is below the fit floor</t>
        </is>
      </c>
      <c r="J10" s="6" t="inlineStr">
        <is>
          <t>Dee Lim</t>
        </is>
      </c>
      <c r="K10" s="6" t="n">
        <v>5</v>
      </c>
      <c r="L10" s="6" t="n">
        <v>100</v>
      </c>
      <c r="M10" s="7" t="inlineStr">
        <is>
          <t>Not run</t>
        </is>
      </c>
      <c r="N10" s="7" t="inlineStr"/>
    </row>
    <row r="11">
      <c r="A11" s="6" t="inlineStr">
        <is>
          <t>S01</t>
        </is>
      </c>
      <c r="B11" s="6" t="inlineStr">
        <is>
          <t>2026-10-20</t>
        </is>
      </c>
      <c r="C11" s="6" t="n">
        <v>11</v>
      </c>
      <c r="D11" s="6" t="inlineStr">
        <is>
          <t>Tidewater Refining</t>
        </is>
      </c>
      <c r="E11" s="6" t="inlineStr">
        <is>
          <t>Inquiry or RFQ</t>
        </is>
      </c>
      <c r="F11" s="6" t="inlineStr">
        <is>
          <t>Tidewater (excluded): qualified but not used</t>
        </is>
      </c>
      <c r="G11" s="6" t="inlineStr">
        <is>
          <t>Not used</t>
        </is>
      </c>
      <c r="H11" s="6" t="inlineStr">
        <is>
          <t>Y2</t>
        </is>
      </c>
      <c r="I11" s="6" t="inlineStr">
        <is>
          <t>Qualified, but the account is excluded (Outside the pilot region (Australia))</t>
        </is>
      </c>
      <c r="J11" s="6" t="inlineStr">
        <is>
          <t>Hu Koh</t>
        </is>
      </c>
      <c r="K11" s="6" t="n">
        <v>5</v>
      </c>
      <c r="L11" s="6" t="n">
        <v>100</v>
      </c>
      <c r="M11" s="7" t="inlineStr">
        <is>
          <t>Not run</t>
        </is>
      </c>
      <c r="N11" s="7" t="inlineStr"/>
    </row>
    <row r="12">
      <c r="A12" s="6" t="inlineStr">
        <is>
          <t>S01</t>
        </is>
      </c>
      <c r="B12" s="6" t="inlineStr">
        <is>
          <t>2026-12-20</t>
        </is>
      </c>
      <c r="C12" s="6" t="n">
        <v>2</v>
      </c>
      <c r="D12" s="6" t="inlineStr">
        <is>
          <t>Apex Refining</t>
        </is>
      </c>
      <c r="E12" s="6" t="inlineStr">
        <is>
          <t>Inquiry or RFQ</t>
        </is>
      </c>
      <c r="F12" s="6" t="inlineStr">
        <is>
          <t>Apex: fresh inquiry: tier A</t>
        </is>
      </c>
      <c r="G12" s="6" t="inlineStr">
        <is>
          <t>Qualified</t>
        </is>
      </c>
      <c r="H12" s="6" t="inlineStr">
        <is>
          <t>Y2</t>
        </is>
      </c>
      <c r="I12" s="6" t="inlineStr">
        <is>
          <t>Named in the file</t>
        </is>
      </c>
      <c r="J12" s="6" t="inlineStr">
        <is>
          <t>Kai Ong</t>
        </is>
      </c>
      <c r="K12" s="6" t="n">
        <v>66</v>
      </c>
      <c r="L12" s="6" t="n">
        <v>40</v>
      </c>
      <c r="M12" s="7" t="inlineStr">
        <is>
          <t>Not run</t>
        </is>
      </c>
      <c r="N12" s="7" t="inlineStr"/>
    </row>
    <row r="13">
      <c r="A13" s="6" t="inlineStr">
        <is>
          <t>S01</t>
        </is>
      </c>
      <c r="B13" s="6" t="inlineStr">
        <is>
          <t>2026-12-20</t>
        </is>
      </c>
      <c r="C13" s="6" t="n">
        <v>3</v>
      </c>
      <c r="D13" s="6" t="inlineStr">
        <is>
          <t>Bayfront Refining</t>
        </is>
      </c>
      <c r="E13" s="6" t="inlineStr">
        <is>
          <t>Installed system near end of support</t>
        </is>
      </c>
      <c r="F13" s="6" t="inlineStr">
        <is>
          <t>Bayfront: end of support: tier A</t>
        </is>
      </c>
      <c r="G13" s="6" t="inlineStr">
        <is>
          <t>Qualified</t>
        </is>
      </c>
      <c r="H13" s="6" t="inlineStr">
        <is>
          <t>Y1</t>
        </is>
      </c>
      <c r="I13" s="6" t="inlineStr">
        <is>
          <t>Named in the file</t>
        </is>
      </c>
      <c r="J13" s="6" t="inlineStr">
        <is>
          <t>Mia Tan</t>
        </is>
      </c>
      <c r="K13" s="6" t="n">
        <v>181</v>
      </c>
      <c r="L13" s="6" t="n">
        <v>100</v>
      </c>
      <c r="M13" s="7" t="inlineStr">
        <is>
          <t>Not run</t>
        </is>
      </c>
      <c r="N13" s="7" t="inlineStr"/>
    </row>
    <row r="14">
      <c r="A14" s="6" t="inlineStr">
        <is>
          <t>S01</t>
        </is>
      </c>
      <c r="B14" s="6" t="inlineStr">
        <is>
          <t>2026-12-20</t>
        </is>
      </c>
      <c r="C14" s="6" t="n">
        <v>4</v>
      </c>
      <c r="D14" s="6" t="inlineStr">
        <is>
          <t>Coldwater Refining</t>
        </is>
      </c>
      <c r="E14" s="6" t="inlineStr">
        <is>
          <t>Capital project</t>
        </is>
      </c>
      <c r="F14" s="6" t="inlineStr">
        <is>
          <t>Coldwater: capital project (weight 80): tier A</t>
        </is>
      </c>
      <c r="G14" s="6" t="inlineStr">
        <is>
          <t>Qualified</t>
        </is>
      </c>
      <c r="H14" s="6" t="inlineStr">
        <is>
          <t>Y4</t>
        </is>
      </c>
      <c r="I14" s="6" t="inlineStr">
        <is>
          <t>Named in the file</t>
        </is>
      </c>
      <c r="J14" s="6" t="inlineStr">
        <is>
          <t>Oli Ng</t>
        </is>
      </c>
      <c r="K14" s="6" t="n">
        <v>101</v>
      </c>
      <c r="L14" s="6" t="n">
        <v>76.8</v>
      </c>
      <c r="M14" s="7" t="inlineStr">
        <is>
          <t>Not run</t>
        </is>
      </c>
      <c r="N14" s="7" t="inlineStr"/>
    </row>
    <row r="15">
      <c r="A15" s="6" t="inlineStr">
        <is>
          <t>S01</t>
        </is>
      </c>
      <c r="B15" s="6" t="inlineStr">
        <is>
          <t>2026-12-20</t>
        </is>
      </c>
      <c r="C15" s="6" t="n">
        <v>5</v>
      </c>
      <c r="D15" s="6" t="inlineStr">
        <is>
          <t>Driftwood Refining</t>
        </is>
      </c>
      <c r="E15" s="6" t="inlineStr">
        <is>
          <t>Webinar attended</t>
        </is>
      </c>
      <c r="F15" s="6" t="inlineStr">
        <is>
          <t>Driftwood: webinar: tier B</t>
        </is>
      </c>
      <c r="G15" s="6" t="inlineStr">
        <is>
          <t>Qualified</t>
        </is>
      </c>
      <c r="H15" s="6" t="inlineStr">
        <is>
          <t>C1w</t>
        </is>
      </c>
      <c r="I15" s="6" t="inlineStr">
        <is>
          <t>Named in the file</t>
        </is>
      </c>
      <c r="J15" s="6" t="inlineStr">
        <is>
          <t>Quin Ong</t>
        </is>
      </c>
      <c r="K15" s="6" t="n">
        <v>71</v>
      </c>
      <c r="L15" s="6" t="n">
        <v>43.6</v>
      </c>
      <c r="M15" s="7" t="inlineStr">
        <is>
          <t>Not run</t>
        </is>
      </c>
      <c r="N15" s="7" t="inlineStr"/>
    </row>
    <row r="16">
      <c r="A16" s="6" t="inlineStr">
        <is>
          <t>S01</t>
        </is>
      </c>
      <c r="B16" s="6" t="inlineStr">
        <is>
          <t>2026-12-20</t>
        </is>
      </c>
      <c r="C16" s="6" t="n">
        <v>6</v>
      </c>
      <c r="D16" s="6" t="inlineStr">
        <is>
          <t>Eastgate Refining</t>
        </is>
      </c>
      <c r="E16" s="6" t="inlineStr">
        <is>
          <t>Email clicked</t>
        </is>
      </c>
      <c r="F16" s="6" t="inlineStr">
        <is>
          <t>Eastgate: one email click: tier C</t>
        </is>
      </c>
      <c r="G16" s="6" t="inlineStr">
        <is>
          <t>Rejected</t>
        </is>
      </c>
      <c r="H16" s="6" t="inlineStr">
        <is>
          <t>D2</t>
        </is>
      </c>
      <c r="I16" s="6" t="inlineStr">
        <is>
          <t>66 days old; this signal type counts for 60 days</t>
        </is>
      </c>
      <c r="J16" s="6" t="inlineStr">
        <is>
          <t>Sam Sim</t>
        </is>
      </c>
      <c r="K16" s="6" t="n">
        <v>66</v>
      </c>
      <c r="L16" s="6" t="inlineStr"/>
      <c r="M16" s="7" t="inlineStr">
        <is>
          <t>Not run</t>
        </is>
      </c>
      <c r="N16" s="7" t="inlineStr"/>
    </row>
    <row r="17">
      <c r="A17" s="6" t="inlineStr">
        <is>
          <t>S01</t>
        </is>
      </c>
      <c r="B17" s="6" t="inlineStr">
        <is>
          <t>2026-12-20</t>
        </is>
      </c>
      <c r="C17" s="6" t="n">
        <v>7</v>
      </c>
      <c r="D17" s="6" t="inlineStr">
        <is>
          <t>Moorland Refining</t>
        </is>
      </c>
      <c r="E17" s="6" t="inlineStr">
        <is>
          <t>Service contract renewal</t>
        </is>
      </c>
      <c r="F17" s="6" t="inlineStr">
        <is>
          <t>Moorland: service renewal</t>
        </is>
      </c>
      <c r="G17" s="6" t="inlineStr">
        <is>
          <t>Qualified</t>
        </is>
      </c>
      <c r="H17" s="6" t="inlineStr">
        <is>
          <t>Y1</t>
        </is>
      </c>
      <c r="I17" s="6" t="inlineStr">
        <is>
          <t>Named in the file</t>
        </is>
      </c>
      <c r="J17" s="6" t="inlineStr">
        <is>
          <t>Wes Goh</t>
        </is>
      </c>
      <c r="K17" s="6" t="n">
        <v>91</v>
      </c>
      <c r="L17" s="6" t="n">
        <v>59.3</v>
      </c>
      <c r="M17" s="7" t="inlineStr">
        <is>
          <t>Not run</t>
        </is>
      </c>
      <c r="N17" s="7" t="inlineStr"/>
    </row>
    <row r="18">
      <c r="A18" s="6" t="inlineStr">
        <is>
          <t>S01</t>
        </is>
      </c>
      <c r="B18" s="6" t="inlineStr">
        <is>
          <t>2026-12-20</t>
        </is>
      </c>
      <c r="C18" s="6" t="n">
        <v>8</v>
      </c>
      <c r="D18" s="6" t="inlineStr">
        <is>
          <t>Newhaven Petrochem</t>
        </is>
      </c>
      <c r="E18" s="6" t="inlineStr">
        <is>
          <t>Leadership change</t>
        </is>
      </c>
      <c r="F18" s="6" t="inlineStr">
        <is>
          <t>Newhaven: leadership change</t>
        </is>
      </c>
      <c r="G18" s="6" t="inlineStr">
        <is>
          <t>Qualified</t>
        </is>
      </c>
      <c r="H18" s="6" t="inlineStr">
        <is>
          <t>C1c</t>
        </is>
      </c>
      <c r="I18" s="6" t="inlineStr">
        <is>
          <t>Named in the file</t>
        </is>
      </c>
      <c r="J18" s="6" t="inlineStr">
        <is>
          <t>Yan Lee</t>
        </is>
      </c>
      <c r="K18" s="6" t="n">
        <v>71</v>
      </c>
      <c r="L18" s="6" t="n">
        <v>24.5</v>
      </c>
      <c r="M18" s="7" t="inlineStr">
        <is>
          <t>Not run</t>
        </is>
      </c>
      <c r="N18" s="7" t="inlineStr"/>
    </row>
    <row r="19">
      <c r="A19" s="6" t="inlineStr">
        <is>
          <t>S01</t>
        </is>
      </c>
      <c r="B19" s="6" t="inlineStr">
        <is>
          <t>2026-12-20</t>
        </is>
      </c>
      <c r="C19" s="6" t="n">
        <v>9</v>
      </c>
      <c r="D19" s="6" t="inlineStr">
        <is>
          <t>Juniper Fuels</t>
        </is>
      </c>
      <c r="E19" s="6" t="inlineStr">
        <is>
          <t>Inquiry or RFQ</t>
        </is>
      </c>
      <c r="F19" s="6" t="inlineStr">
        <is>
          <t>Juniper (fit 50): inquiry</t>
        </is>
      </c>
      <c r="G19" s="6" t="inlineStr">
        <is>
          <t>Qualified</t>
        </is>
      </c>
      <c r="H19" s="6" t="inlineStr">
        <is>
          <t>Y2</t>
        </is>
      </c>
      <c r="I19" s="6" t="inlineStr">
        <is>
          <t>Named in the file</t>
        </is>
      </c>
      <c r="J19" s="6" t="inlineStr">
        <is>
          <t>Cal Ho</t>
        </is>
      </c>
      <c r="K19" s="6" t="n">
        <v>66</v>
      </c>
      <c r="L19" s="6" t="n">
        <v>40</v>
      </c>
      <c r="M19" s="7" t="inlineStr">
        <is>
          <t>Not run</t>
        </is>
      </c>
      <c r="N19" s="7" t="inlineStr"/>
    </row>
    <row r="20">
      <c r="A20" s="6" t="inlineStr">
        <is>
          <t>S01</t>
        </is>
      </c>
      <c r="B20" s="6" t="inlineStr">
        <is>
          <t>2026-12-20</t>
        </is>
      </c>
      <c r="C20" s="6" t="n">
        <v>10</v>
      </c>
      <c r="D20" s="6" t="inlineStr">
        <is>
          <t>Kingsbridge Fuels</t>
        </is>
      </c>
      <c r="E20" s="6" t="inlineStr">
        <is>
          <t>Inquiry or RFQ</t>
        </is>
      </c>
      <c r="F20" s="6" t="inlineStr">
        <is>
          <t>Kingsbridge (fit 49): qualified but not used, below the fit floor</t>
        </is>
      </c>
      <c r="G20" s="6" t="inlineStr">
        <is>
          <t>Not used</t>
        </is>
      </c>
      <c r="H20" s="6" t="inlineStr">
        <is>
          <t>Y2</t>
        </is>
      </c>
      <c r="I20" s="6" t="inlineStr">
        <is>
          <t>Qualified, but the account is below the fit floor</t>
        </is>
      </c>
      <c r="J20" s="6" t="inlineStr">
        <is>
          <t>Dee Lim</t>
        </is>
      </c>
      <c r="K20" s="6" t="n">
        <v>66</v>
      </c>
      <c r="L20" s="6" t="n">
        <v>40</v>
      </c>
      <c r="M20" s="7" t="inlineStr">
        <is>
          <t>Not run</t>
        </is>
      </c>
      <c r="N20" s="7" t="inlineStr"/>
    </row>
    <row r="21">
      <c r="A21" s="6" t="inlineStr">
        <is>
          <t>S01</t>
        </is>
      </c>
      <c r="B21" s="6" t="inlineStr">
        <is>
          <t>2026-12-20</t>
        </is>
      </c>
      <c r="C21" s="6" t="n">
        <v>11</v>
      </c>
      <c r="D21" s="6" t="inlineStr">
        <is>
          <t>Tidewater Refining</t>
        </is>
      </c>
      <c r="E21" s="6" t="inlineStr">
        <is>
          <t>Inquiry or RFQ</t>
        </is>
      </c>
      <c r="F21" s="6" t="inlineStr">
        <is>
          <t>Tidewater (excluded): qualified but not used</t>
        </is>
      </c>
      <c r="G21" s="6" t="inlineStr">
        <is>
          <t>Not used</t>
        </is>
      </c>
      <c r="H21" s="6" t="inlineStr">
        <is>
          <t>Y2</t>
        </is>
      </c>
      <c r="I21" s="6" t="inlineStr">
        <is>
          <t>Qualified, but the account is excluded (Outside the pilot region (Australia))</t>
        </is>
      </c>
      <c r="J21" s="6" t="inlineStr">
        <is>
          <t>Hu Koh</t>
        </is>
      </c>
      <c r="K21" s="6" t="n">
        <v>66</v>
      </c>
      <c r="L21" s="6" t="n">
        <v>40</v>
      </c>
      <c r="M21" s="7" t="inlineStr">
        <is>
          <t>Not run</t>
        </is>
      </c>
      <c r="N21" s="7" t="inlineStr"/>
    </row>
    <row r="22">
      <c r="A22" s="6" t="inlineStr">
        <is>
          <t>S01</t>
        </is>
      </c>
      <c r="B22" s="6" t="inlineStr">
        <is>
          <t>2027-04-20</t>
        </is>
      </c>
      <c r="C22" s="6" t="n">
        <v>2</v>
      </c>
      <c r="D22" s="6" t="inlineStr">
        <is>
          <t>Apex Refining</t>
        </is>
      </c>
      <c r="E22" s="6" t="inlineStr">
        <is>
          <t>Inquiry or RFQ</t>
        </is>
      </c>
      <c r="F22" s="6" t="inlineStr">
        <is>
          <t>Apex: fresh inquiry: tier A</t>
        </is>
      </c>
      <c r="G22" s="6" t="inlineStr">
        <is>
          <t>Rejected</t>
        </is>
      </c>
      <c r="H22" s="6" t="inlineStr">
        <is>
          <t>D2</t>
        </is>
      </c>
      <c r="I22" s="6" t="inlineStr">
        <is>
          <t>187 days old; this signal type counts for 90 days</t>
        </is>
      </c>
      <c r="J22" s="6" t="inlineStr">
        <is>
          <t>Kai Ong</t>
        </is>
      </c>
      <c r="K22" s="6" t="n">
        <v>187</v>
      </c>
      <c r="L22" s="6" t="inlineStr"/>
      <c r="M22" s="7" t="inlineStr">
        <is>
          <t>Not run</t>
        </is>
      </c>
      <c r="N22" s="7" t="inlineStr"/>
    </row>
    <row r="23">
      <c r="A23" s="6" t="inlineStr">
        <is>
          <t>S01</t>
        </is>
      </c>
      <c r="B23" s="6" t="inlineStr">
        <is>
          <t>2027-04-20</t>
        </is>
      </c>
      <c r="C23" s="6" t="n">
        <v>3</v>
      </c>
      <c r="D23" s="6" t="inlineStr">
        <is>
          <t>Bayfront Refining</t>
        </is>
      </c>
      <c r="E23" s="6" t="inlineStr">
        <is>
          <t>Installed system near end of support</t>
        </is>
      </c>
      <c r="F23" s="6" t="inlineStr">
        <is>
          <t>Bayfront: end of support: tier A</t>
        </is>
      </c>
      <c r="G23" s="6" t="inlineStr">
        <is>
          <t>Qualified</t>
        </is>
      </c>
      <c r="H23" s="6" t="inlineStr">
        <is>
          <t>Y1</t>
        </is>
      </c>
      <c r="I23" s="6" t="inlineStr">
        <is>
          <t>Named in the file</t>
        </is>
      </c>
      <c r="J23" s="6" t="inlineStr">
        <is>
          <t>Mia Tan</t>
        </is>
      </c>
      <c r="K23" s="6" t="n">
        <v>302</v>
      </c>
      <c r="L23" s="6" t="n">
        <v>100</v>
      </c>
      <c r="M23" s="7" t="inlineStr">
        <is>
          <t>Not run</t>
        </is>
      </c>
      <c r="N23" s="7" t="inlineStr"/>
    </row>
    <row r="24">
      <c r="A24" s="6" t="inlineStr">
        <is>
          <t>S01</t>
        </is>
      </c>
      <c r="B24" s="6" t="inlineStr">
        <is>
          <t>2027-04-20</t>
        </is>
      </c>
      <c r="C24" s="6" t="n">
        <v>4</v>
      </c>
      <c r="D24" s="6" t="inlineStr">
        <is>
          <t>Coldwater Refining</t>
        </is>
      </c>
      <c r="E24" s="6" t="inlineStr">
        <is>
          <t>Capital project</t>
        </is>
      </c>
      <c r="F24" s="6" t="inlineStr">
        <is>
          <t>Coldwater: capital project (weight 80): tier A</t>
        </is>
      </c>
      <c r="G24" s="6" t="inlineStr">
        <is>
          <t>Qualified</t>
        </is>
      </c>
      <c r="H24" s="6" t="inlineStr">
        <is>
          <t>Y4</t>
        </is>
      </c>
      <c r="I24" s="6" t="inlineStr">
        <is>
          <t>Named in the file</t>
        </is>
      </c>
      <c r="J24" s="6" t="inlineStr">
        <is>
          <t>Oli Ng</t>
        </is>
      </c>
      <c r="K24" s="6" t="n">
        <v>222</v>
      </c>
      <c r="L24" s="6" t="n">
        <v>41.6</v>
      </c>
      <c r="M24" s="7" t="inlineStr">
        <is>
          <t>Not run</t>
        </is>
      </c>
      <c r="N24" s="7" t="inlineStr"/>
    </row>
    <row r="25">
      <c r="A25" s="6" t="inlineStr">
        <is>
          <t>S01</t>
        </is>
      </c>
      <c r="B25" s="6" t="inlineStr">
        <is>
          <t>2027-04-20</t>
        </is>
      </c>
      <c r="C25" s="6" t="n">
        <v>5</v>
      </c>
      <c r="D25" s="6" t="inlineStr">
        <is>
          <t>Driftwood Refining</t>
        </is>
      </c>
      <c r="E25" s="6" t="inlineStr">
        <is>
          <t>Webinar attended</t>
        </is>
      </c>
      <c r="F25" s="6" t="inlineStr">
        <is>
          <t>Driftwood: webinar: tier B</t>
        </is>
      </c>
      <c r="G25" s="6" t="inlineStr">
        <is>
          <t>Rejected</t>
        </is>
      </c>
      <c r="H25" s="6" t="inlineStr">
        <is>
          <t>D2</t>
        </is>
      </c>
      <c r="I25" s="6" t="inlineStr">
        <is>
          <t>192 days old; this signal type counts for 180 days</t>
        </is>
      </c>
      <c r="J25" s="6" t="inlineStr">
        <is>
          <t>Quin Ong</t>
        </is>
      </c>
      <c r="K25" s="6" t="n">
        <v>192</v>
      </c>
      <c r="L25" s="6" t="inlineStr"/>
      <c r="M25" s="7" t="inlineStr">
        <is>
          <t>Not run</t>
        </is>
      </c>
      <c r="N25" s="7" t="inlineStr"/>
    </row>
    <row r="26">
      <c r="A26" s="6" t="inlineStr">
        <is>
          <t>S01</t>
        </is>
      </c>
      <c r="B26" s="6" t="inlineStr">
        <is>
          <t>2027-04-20</t>
        </is>
      </c>
      <c r="C26" s="6" t="n">
        <v>6</v>
      </c>
      <c r="D26" s="6" t="inlineStr">
        <is>
          <t>Eastgate Refining</t>
        </is>
      </c>
      <c r="E26" s="6" t="inlineStr">
        <is>
          <t>Email clicked</t>
        </is>
      </c>
      <c r="F26" s="6" t="inlineStr">
        <is>
          <t>Eastgate: one email click: tier C</t>
        </is>
      </c>
      <c r="G26" s="6" t="inlineStr">
        <is>
          <t>Rejected</t>
        </is>
      </c>
      <c r="H26" s="6" t="inlineStr">
        <is>
          <t>D2</t>
        </is>
      </c>
      <c r="I26" s="6" t="inlineStr">
        <is>
          <t>187 days old; this signal type counts for 60 days</t>
        </is>
      </c>
      <c r="J26" s="6" t="inlineStr">
        <is>
          <t>Sam Sim</t>
        </is>
      </c>
      <c r="K26" s="6" t="n">
        <v>187</v>
      </c>
      <c r="L26" s="6" t="inlineStr"/>
      <c r="M26" s="7" t="inlineStr">
        <is>
          <t>Not run</t>
        </is>
      </c>
      <c r="N26" s="7" t="inlineStr"/>
    </row>
    <row r="27">
      <c r="A27" s="6" t="inlineStr">
        <is>
          <t>S01</t>
        </is>
      </c>
      <c r="B27" s="6" t="inlineStr">
        <is>
          <t>2027-04-20</t>
        </is>
      </c>
      <c r="C27" s="6" t="n">
        <v>7</v>
      </c>
      <c r="D27" s="6" t="inlineStr">
        <is>
          <t>Moorland Refining</t>
        </is>
      </c>
      <c r="E27" s="6" t="inlineStr">
        <is>
          <t>Service contract renewal</t>
        </is>
      </c>
      <c r="F27" s="6" t="inlineStr">
        <is>
          <t>Moorland: service renewal</t>
        </is>
      </c>
      <c r="G27" s="6" t="inlineStr">
        <is>
          <t>Rejected</t>
        </is>
      </c>
      <c r="H27" s="6" t="inlineStr">
        <is>
          <t>D2</t>
        </is>
      </c>
      <c r="I27" s="6" t="inlineStr">
        <is>
          <t>212 days old; this signal type counts for 180 days</t>
        </is>
      </c>
      <c r="J27" s="6" t="inlineStr">
        <is>
          <t>Wes Goh</t>
        </is>
      </c>
      <c r="K27" s="6" t="n">
        <v>212</v>
      </c>
      <c r="L27" s="6" t="inlineStr"/>
      <c r="M27" s="7" t="inlineStr">
        <is>
          <t>Not run</t>
        </is>
      </c>
      <c r="N27" s="7" t="inlineStr"/>
    </row>
    <row r="28">
      <c r="A28" s="6" t="inlineStr">
        <is>
          <t>S01</t>
        </is>
      </c>
      <c r="B28" s="6" t="inlineStr">
        <is>
          <t>2027-04-20</t>
        </is>
      </c>
      <c r="C28" s="6" t="n">
        <v>8</v>
      </c>
      <c r="D28" s="6" t="inlineStr">
        <is>
          <t>Newhaven Petrochem</t>
        </is>
      </c>
      <c r="E28" s="6" t="inlineStr">
        <is>
          <t>Leadership change</t>
        </is>
      </c>
      <c r="F28" s="6" t="inlineStr">
        <is>
          <t>Newhaven: leadership change</t>
        </is>
      </c>
      <c r="G28" s="6" t="inlineStr">
        <is>
          <t>Rejected</t>
        </is>
      </c>
      <c r="H28" s="6" t="inlineStr">
        <is>
          <t>D2</t>
        </is>
      </c>
      <c r="I28" s="6" t="inlineStr">
        <is>
          <t>192 days old; this signal type counts for 120 days</t>
        </is>
      </c>
      <c r="J28" s="6" t="inlineStr">
        <is>
          <t>Yan Lee</t>
        </is>
      </c>
      <c r="K28" s="6" t="n">
        <v>192</v>
      </c>
      <c r="L28" s="6" t="inlineStr"/>
      <c r="M28" s="7" t="inlineStr">
        <is>
          <t>Not run</t>
        </is>
      </c>
      <c r="N28" s="7" t="inlineStr"/>
    </row>
    <row r="29">
      <c r="A29" s="6" t="inlineStr">
        <is>
          <t>S01</t>
        </is>
      </c>
      <c r="B29" s="6" t="inlineStr">
        <is>
          <t>2027-04-20</t>
        </is>
      </c>
      <c r="C29" s="6" t="n">
        <v>9</v>
      </c>
      <c r="D29" s="6" t="inlineStr">
        <is>
          <t>Juniper Fuels</t>
        </is>
      </c>
      <c r="E29" s="6" t="inlineStr">
        <is>
          <t>Inquiry or RFQ</t>
        </is>
      </c>
      <c r="F29" s="6" t="inlineStr">
        <is>
          <t>Juniper (fit 50): inquiry</t>
        </is>
      </c>
      <c r="G29" s="6" t="inlineStr">
        <is>
          <t>Rejected</t>
        </is>
      </c>
      <c r="H29" s="6" t="inlineStr">
        <is>
          <t>D2</t>
        </is>
      </c>
      <c r="I29" s="6" t="inlineStr">
        <is>
          <t>187 days old; this signal type counts for 90 days</t>
        </is>
      </c>
      <c r="J29" s="6" t="inlineStr">
        <is>
          <t>Cal Ho</t>
        </is>
      </c>
      <c r="K29" s="6" t="n">
        <v>187</v>
      </c>
      <c r="L29" s="6" t="inlineStr"/>
      <c r="M29" s="7" t="inlineStr">
        <is>
          <t>Not run</t>
        </is>
      </c>
      <c r="N29" s="7" t="inlineStr"/>
    </row>
    <row r="30">
      <c r="A30" s="6" t="inlineStr">
        <is>
          <t>S01</t>
        </is>
      </c>
      <c r="B30" s="6" t="inlineStr">
        <is>
          <t>2027-04-20</t>
        </is>
      </c>
      <c r="C30" s="6" t="n">
        <v>10</v>
      </c>
      <c r="D30" s="6" t="inlineStr">
        <is>
          <t>Kingsbridge Fuels</t>
        </is>
      </c>
      <c r="E30" s="6" t="inlineStr">
        <is>
          <t>Inquiry or RFQ</t>
        </is>
      </c>
      <c r="F30" s="6" t="inlineStr">
        <is>
          <t>Kingsbridge (fit 49): qualified but not used, below the fit floor</t>
        </is>
      </c>
      <c r="G30" s="6" t="inlineStr">
        <is>
          <t>Rejected</t>
        </is>
      </c>
      <c r="H30" s="6" t="inlineStr">
        <is>
          <t>D2</t>
        </is>
      </c>
      <c r="I30" s="6" t="inlineStr">
        <is>
          <t>187 days old; this signal type counts for 90 days</t>
        </is>
      </c>
      <c r="J30" s="6" t="inlineStr">
        <is>
          <t>Dee Lim</t>
        </is>
      </c>
      <c r="K30" s="6" t="n">
        <v>187</v>
      </c>
      <c r="L30" s="6" t="inlineStr"/>
      <c r="M30" s="7" t="inlineStr">
        <is>
          <t>Not run</t>
        </is>
      </c>
      <c r="N30" s="7" t="inlineStr"/>
    </row>
    <row r="31">
      <c r="A31" s="6" t="inlineStr">
        <is>
          <t>S01</t>
        </is>
      </c>
      <c r="B31" s="6" t="inlineStr">
        <is>
          <t>2027-04-20</t>
        </is>
      </c>
      <c r="C31" s="6" t="n">
        <v>11</v>
      </c>
      <c r="D31" s="6" t="inlineStr">
        <is>
          <t>Tidewater Refining</t>
        </is>
      </c>
      <c r="E31" s="6" t="inlineStr">
        <is>
          <t>Inquiry or RFQ</t>
        </is>
      </c>
      <c r="F31" s="6" t="inlineStr">
        <is>
          <t>Tidewater (excluded): qualified but not used</t>
        </is>
      </c>
      <c r="G31" s="6" t="inlineStr">
        <is>
          <t>Rejected</t>
        </is>
      </c>
      <c r="H31" s="6" t="inlineStr">
        <is>
          <t>D2</t>
        </is>
      </c>
      <c r="I31" s="6" t="inlineStr">
        <is>
          <t>187 days old; this signal type counts for 90 days</t>
        </is>
      </c>
      <c r="J31" s="6" t="inlineStr">
        <is>
          <t>Hu Koh</t>
        </is>
      </c>
      <c r="K31" s="6" t="n">
        <v>187</v>
      </c>
      <c r="L31" s="6" t="inlineStr"/>
      <c r="M31" s="7" t="inlineStr">
        <is>
          <t>Not run</t>
        </is>
      </c>
      <c r="N31" s="7" t="inlineStr"/>
    </row>
    <row r="32">
      <c r="A32" s="4" t="inlineStr">
        <is>
          <t>S02</t>
        </is>
      </c>
      <c r="B32" s="4" t="inlineStr">
        <is>
          <t>2026-10-20</t>
        </is>
      </c>
      <c r="C32" s="4" t="n">
        <v>2</v>
      </c>
      <c r="D32" s="4" t="inlineStr">
        <is>
          <t>Apex Refining</t>
        </is>
      </c>
      <c r="E32" s="4" t="inlineStr">
        <is>
          <t>Inquiry or RFQ</t>
        </is>
      </c>
      <c r="F32" s="4" t="inlineStr">
        <is>
          <t>Fresh inquiry, weight 100: score 50, A</t>
        </is>
      </c>
      <c r="G32" s="4" t="inlineStr">
        <is>
          <t>Qualified</t>
        </is>
      </c>
      <c r="H32" s="4" t="inlineStr">
        <is>
          <t>Y2</t>
        </is>
      </c>
      <c r="I32" s="4" t="inlineStr">
        <is>
          <t>Named in the file</t>
        </is>
      </c>
      <c r="J32" s="4" t="inlineStr">
        <is>
          <t>Kai Ong</t>
        </is>
      </c>
      <c r="K32" s="4" t="n">
        <v>10</v>
      </c>
      <c r="L32" s="4" t="n">
        <v>100</v>
      </c>
      <c r="M32" s="5" t="inlineStr">
        <is>
          <t>Not run</t>
        </is>
      </c>
      <c r="N32" s="5" t="inlineStr"/>
    </row>
    <row r="33">
      <c r="A33" s="4" t="inlineStr">
        <is>
          <t>S02</t>
        </is>
      </c>
      <c r="B33" s="4" t="inlineStr">
        <is>
          <t>2026-10-20</t>
        </is>
      </c>
      <c r="C33" s="4" t="n">
        <v>3</v>
      </c>
      <c r="D33" s="4" t="inlineStr">
        <is>
          <t>Bayfront Refining</t>
        </is>
      </c>
      <c r="E33" s="4" t="inlineStr">
        <is>
          <t>Inquiry or RFQ</t>
        </is>
      </c>
      <c r="F33" s="4" t="inlineStr">
        <is>
          <t>48 days: weight 70, score exactly 35: A (the cut-off is "at least 35")</t>
        </is>
      </c>
      <c r="G33" s="4" t="inlineStr">
        <is>
          <t>Qualified</t>
        </is>
      </c>
      <c r="H33" s="4" t="inlineStr">
        <is>
          <t>Y2</t>
        </is>
      </c>
      <c r="I33" s="4" t="inlineStr">
        <is>
          <t>Named in the file</t>
        </is>
      </c>
      <c r="J33" s="4" t="inlineStr">
        <is>
          <t>Mia Tan</t>
        </is>
      </c>
      <c r="K33" s="4" t="n">
        <v>48</v>
      </c>
      <c r="L33" s="4" t="n">
        <v>70</v>
      </c>
      <c r="M33" s="5" t="inlineStr">
        <is>
          <t>Not run</t>
        </is>
      </c>
      <c r="N33" s="5" t="inlineStr"/>
    </row>
    <row r="34">
      <c r="A34" s="4" t="inlineStr">
        <is>
          <t>S02</t>
        </is>
      </c>
      <c r="B34" s="4" t="inlineStr">
        <is>
          <t>2026-10-20</t>
        </is>
      </c>
      <c r="C34" s="4" t="n">
        <v>4</v>
      </c>
      <c r="D34" s="4" t="inlineStr">
        <is>
          <t>Coldwater Refining</t>
        </is>
      </c>
      <c r="E34" s="4" t="inlineStr">
        <is>
          <t>Inquiry or RFQ</t>
        </is>
      </c>
      <c r="F34" s="4" t="inlineStr">
        <is>
          <t>49 days: weight 68.3, score 34.2: B</t>
        </is>
      </c>
      <c r="G34" s="4" t="inlineStr">
        <is>
          <t>Qualified</t>
        </is>
      </c>
      <c r="H34" s="4" t="inlineStr">
        <is>
          <t>Y2</t>
        </is>
      </c>
      <c r="I34" s="4" t="inlineStr">
        <is>
          <t>Named in the file</t>
        </is>
      </c>
      <c r="J34" s="4" t="inlineStr">
        <is>
          <t>Oli Ng</t>
        </is>
      </c>
      <c r="K34" s="4" t="n">
        <v>49</v>
      </c>
      <c r="L34" s="4" t="n">
        <v>68.3</v>
      </c>
      <c r="M34" s="5" t="inlineStr">
        <is>
          <t>Not run</t>
        </is>
      </c>
      <c r="N34" s="5" t="inlineStr"/>
    </row>
    <row r="35">
      <c r="A35" s="4" t="inlineStr">
        <is>
          <t>S02</t>
        </is>
      </c>
      <c r="B35" s="4" t="inlineStr">
        <is>
          <t>2026-10-20</t>
        </is>
      </c>
      <c r="C35" s="4" t="n">
        <v>5</v>
      </c>
      <c r="D35" s="4" t="inlineStr">
        <is>
          <t>Driftwood Refining</t>
        </is>
      </c>
      <c r="E35" s="4" t="inlineStr">
        <is>
          <t>Inquiry or RFQ</t>
        </is>
      </c>
      <c r="F35" s="4" t="inlineStr">
        <is>
          <t>66 days: weight 40, score exactly 20: B</t>
        </is>
      </c>
      <c r="G35" s="4" t="inlineStr">
        <is>
          <t>Qualified</t>
        </is>
      </c>
      <c r="H35" s="4" t="inlineStr">
        <is>
          <t>Y2</t>
        </is>
      </c>
      <c r="I35" s="4" t="inlineStr">
        <is>
          <t>Named in the file</t>
        </is>
      </c>
      <c r="J35" s="4" t="inlineStr">
        <is>
          <t>Quin Ong</t>
        </is>
      </c>
      <c r="K35" s="4" t="n">
        <v>66</v>
      </c>
      <c r="L35" s="4" t="n">
        <v>40</v>
      </c>
      <c r="M35" s="5" t="inlineStr">
        <is>
          <t>Not run</t>
        </is>
      </c>
      <c r="N35" s="5" t="inlineStr"/>
    </row>
    <row r="36">
      <c r="A36" s="4" t="inlineStr">
        <is>
          <t>S02</t>
        </is>
      </c>
      <c r="B36" s="4" t="inlineStr">
        <is>
          <t>2026-10-20</t>
        </is>
      </c>
      <c r="C36" s="4" t="n">
        <v>6</v>
      </c>
      <c r="D36" s="4" t="inlineStr">
        <is>
          <t>Eastgate Refining</t>
        </is>
      </c>
      <c r="E36" s="4" t="inlineStr">
        <is>
          <t>Inquiry or RFQ</t>
        </is>
      </c>
      <c r="F36" s="4" t="inlineStr">
        <is>
          <t>67 days: weight 38.3, score 19.2: C</t>
        </is>
      </c>
      <c r="G36" s="4" t="inlineStr">
        <is>
          <t>Qualified</t>
        </is>
      </c>
      <c r="H36" s="4" t="inlineStr">
        <is>
          <t>Y2</t>
        </is>
      </c>
      <c r="I36" s="4" t="inlineStr">
        <is>
          <t>Named in the file</t>
        </is>
      </c>
      <c r="J36" s="4" t="inlineStr">
        <is>
          <t>Sam Sim</t>
        </is>
      </c>
      <c r="K36" s="4" t="n">
        <v>67</v>
      </c>
      <c r="L36" s="4" t="n">
        <v>38.3</v>
      </c>
      <c r="M36" s="5" t="inlineStr">
        <is>
          <t>Not run</t>
        </is>
      </c>
      <c r="N36" s="5" t="inlineStr"/>
    </row>
    <row r="37">
      <c r="A37" s="6" t="inlineStr">
        <is>
          <t>S03</t>
        </is>
      </c>
      <c r="B37" s="6" t="inlineStr">
        <is>
          <t>2026-10-20</t>
        </is>
      </c>
      <c r="C37" s="6" t="n">
        <v>2</v>
      </c>
      <c r="D37" s="6" t="inlineStr">
        <is>
          <t>Apex Refining</t>
        </is>
      </c>
      <c r="E37" s="6" t="inlineStr">
        <is>
          <t>Inquiry or RFQ</t>
        </is>
      </c>
      <c r="F37" s="6" t="inlineStr">
        <is>
          <t>Apex Refining: inquiry</t>
        </is>
      </c>
      <c r="G37" s="6" t="inlineStr">
        <is>
          <t>Qualified</t>
        </is>
      </c>
      <c r="H37" s="6" t="inlineStr">
        <is>
          <t>Y2</t>
        </is>
      </c>
      <c r="I37" s="6" t="inlineStr">
        <is>
          <t>Named in the file</t>
        </is>
      </c>
      <c r="J37" s="6" t="inlineStr">
        <is>
          <t>Kai Ong</t>
        </is>
      </c>
      <c r="K37" s="6" t="n">
        <v>5</v>
      </c>
      <c r="L37" s="6" t="n">
        <v>100</v>
      </c>
      <c r="M37" s="7" t="inlineStr">
        <is>
          <t>Not run</t>
        </is>
      </c>
      <c r="N37" s="7" t="inlineStr"/>
    </row>
    <row r="38">
      <c r="A38" s="6" t="inlineStr">
        <is>
          <t>S03</t>
        </is>
      </c>
      <c r="B38" s="6" t="inlineStr">
        <is>
          <t>2026-10-20</t>
        </is>
      </c>
      <c r="C38" s="6" t="n">
        <v>3</v>
      </c>
      <c r="D38" s="6" t="inlineStr">
        <is>
          <t>Moorland Refining</t>
        </is>
      </c>
      <c r="E38" s="6" t="inlineStr">
        <is>
          <t>Inquiry or RFQ</t>
        </is>
      </c>
      <c r="F38" s="6" t="inlineStr">
        <is>
          <t>Moorland Refining: inquiry</t>
        </is>
      </c>
      <c r="G38" s="6" t="inlineStr">
        <is>
          <t>Qualified</t>
        </is>
      </c>
      <c r="H38" s="6" t="inlineStr">
        <is>
          <t>Y2</t>
        </is>
      </c>
      <c r="I38" s="6" t="inlineStr">
        <is>
          <t>Named in the file</t>
        </is>
      </c>
      <c r="J38" s="6" t="inlineStr">
        <is>
          <t>Wes Goh</t>
        </is>
      </c>
      <c r="K38" s="6" t="n">
        <v>5</v>
      </c>
      <c r="L38" s="6" t="n">
        <v>100</v>
      </c>
      <c r="M38" s="7" t="inlineStr">
        <is>
          <t>Not run</t>
        </is>
      </c>
      <c r="N38" s="7" t="inlineStr"/>
    </row>
    <row r="39">
      <c r="A39" s="6" t="inlineStr">
        <is>
          <t>S03</t>
        </is>
      </c>
      <c r="B39" s="6" t="inlineStr">
        <is>
          <t>2026-10-20</t>
        </is>
      </c>
      <c r="C39" s="6" t="n">
        <v>4</v>
      </c>
      <c r="D39" s="6" t="inlineStr">
        <is>
          <t>Pebblebrook Refining</t>
        </is>
      </c>
      <c r="E39" s="6" t="inlineStr">
        <is>
          <t>Inquiry or RFQ</t>
        </is>
      </c>
      <c r="F39" s="6" t="inlineStr">
        <is>
          <t>Pebblebrook Refining: inquiry</t>
        </is>
      </c>
      <c r="G39" s="6" t="inlineStr">
        <is>
          <t>Qualified</t>
        </is>
      </c>
      <c r="H39" s="6" t="inlineStr">
        <is>
          <t>Y2</t>
        </is>
      </c>
      <c r="I39" s="6" t="inlineStr">
        <is>
          <t>Named in the file</t>
        </is>
      </c>
      <c r="J39" s="6" t="inlineStr">
        <is>
          <t>Xin Chua</t>
        </is>
      </c>
      <c r="K39" s="6" t="n">
        <v>5</v>
      </c>
      <c r="L39" s="6" t="n">
        <v>100</v>
      </c>
      <c r="M39" s="7" t="inlineStr">
        <is>
          <t>Not run</t>
        </is>
      </c>
      <c r="N39" s="7" t="inlineStr"/>
    </row>
    <row r="40">
      <c r="A40" s="6" t="inlineStr">
        <is>
          <t>S03</t>
        </is>
      </c>
      <c r="B40" s="6" t="inlineStr">
        <is>
          <t>2026-10-20</t>
        </is>
      </c>
      <c r="C40" s="6" t="n">
        <v>5</v>
      </c>
      <c r="D40" s="6" t="inlineStr">
        <is>
          <t>Newhaven Petrochem</t>
        </is>
      </c>
      <c r="E40" s="6" t="inlineStr">
        <is>
          <t>Inquiry or RFQ</t>
        </is>
      </c>
      <c r="F40" s="6" t="inlineStr">
        <is>
          <t>Newhaven Petrochem: inquiry</t>
        </is>
      </c>
      <c r="G40" s="6" t="inlineStr">
        <is>
          <t>Qualified</t>
        </is>
      </c>
      <c r="H40" s="6" t="inlineStr">
        <is>
          <t>Y2</t>
        </is>
      </c>
      <c r="I40" s="6" t="inlineStr">
        <is>
          <t>Named in the file</t>
        </is>
      </c>
      <c r="J40" s="6" t="inlineStr">
        <is>
          <t>Yan Lee</t>
        </is>
      </c>
      <c r="K40" s="6" t="n">
        <v>5</v>
      </c>
      <c r="L40" s="6" t="n">
        <v>100</v>
      </c>
      <c r="M40" s="7" t="inlineStr">
        <is>
          <t>Not run</t>
        </is>
      </c>
      <c r="N40" s="7" t="inlineStr"/>
    </row>
    <row r="41">
      <c r="A41" s="6" t="inlineStr">
        <is>
          <t>S03</t>
        </is>
      </c>
      <c r="B41" s="6" t="inlineStr">
        <is>
          <t>2026-10-20</t>
        </is>
      </c>
      <c r="C41" s="6" t="n">
        <v>6</v>
      </c>
      <c r="D41" s="6" t="inlineStr">
        <is>
          <t>Oakridge Water</t>
        </is>
      </c>
      <c r="E41" s="6" t="inlineStr">
        <is>
          <t>Inquiry or RFQ</t>
        </is>
      </c>
      <c r="F41" s="6" t="inlineStr">
        <is>
          <t>Oakridge Water: inquiry</t>
        </is>
      </c>
      <c r="G41" s="6" t="inlineStr">
        <is>
          <t>Qualified</t>
        </is>
      </c>
      <c r="H41" s="6" t="inlineStr">
        <is>
          <t>Y2</t>
        </is>
      </c>
      <c r="I41" s="6" t="inlineStr">
        <is>
          <t>Named in the file</t>
        </is>
      </c>
      <c r="J41" s="6" t="inlineStr">
        <is>
          <t>Zed Teo</t>
        </is>
      </c>
      <c r="K41" s="6" t="n">
        <v>5</v>
      </c>
      <c r="L41" s="6" t="n">
        <v>100</v>
      </c>
      <c r="M41" s="7" t="inlineStr">
        <is>
          <t>Not run</t>
        </is>
      </c>
      <c r="N41" s="7" t="inlineStr"/>
    </row>
    <row r="42">
      <c r="A42" s="6" t="inlineStr">
        <is>
          <t>S03</t>
        </is>
      </c>
      <c r="B42" s="6" t="inlineStr">
        <is>
          <t>2026-10-20</t>
        </is>
      </c>
      <c r="C42" s="6" t="n">
        <v>7</v>
      </c>
      <c r="D42" s="6" t="inlineStr">
        <is>
          <t>Quarry Hill Engineering</t>
        </is>
      </c>
      <c r="E42" s="6" t="inlineStr">
        <is>
          <t>Inquiry or RFQ</t>
        </is>
      </c>
      <c r="F42" s="6" t="inlineStr">
        <is>
          <t>Quarry Hill Engineering: inquiry</t>
        </is>
      </c>
      <c r="G42" s="6" t="inlineStr">
        <is>
          <t>Qualified</t>
        </is>
      </c>
      <c r="H42" s="6" t="inlineStr">
        <is>
          <t>Y2</t>
        </is>
      </c>
      <c r="I42" s="6" t="inlineStr">
        <is>
          <t>Named in the file</t>
        </is>
      </c>
      <c r="J42" s="6" t="inlineStr">
        <is>
          <t>Abe Wee</t>
        </is>
      </c>
      <c r="K42" s="6" t="n">
        <v>5</v>
      </c>
      <c r="L42" s="6" t="n">
        <v>100</v>
      </c>
      <c r="M42" s="7" t="inlineStr">
        <is>
          <t>Not run</t>
        </is>
      </c>
      <c r="N42" s="7" t="inlineStr"/>
    </row>
    <row r="43">
      <c r="A43" s="6" t="inlineStr">
        <is>
          <t>S03</t>
        </is>
      </c>
      <c r="B43" s="6" t="inlineStr">
        <is>
          <t>2026-10-20</t>
        </is>
      </c>
      <c r="C43" s="6" t="n">
        <v>8</v>
      </c>
      <c r="D43" s="6" t="inlineStr">
        <is>
          <t>Larkspur Refining</t>
        </is>
      </c>
      <c r="E43" s="6" t="inlineStr">
        <is>
          <t>Inquiry or RFQ</t>
        </is>
      </c>
      <c r="F43" s="6" t="inlineStr">
        <is>
          <t>Larkspur Refining: inquiry</t>
        </is>
      </c>
      <c r="G43" s="6" t="inlineStr">
        <is>
          <t>Qualified</t>
        </is>
      </c>
      <c r="H43" s="6" t="inlineStr">
        <is>
          <t>Y2</t>
        </is>
      </c>
      <c r="I43" s="6" t="inlineStr">
        <is>
          <t>Named in the file</t>
        </is>
      </c>
      <c r="J43" s="6" t="inlineStr">
        <is>
          <t>Bea Ang</t>
        </is>
      </c>
      <c r="K43" s="6" t="n">
        <v>5</v>
      </c>
      <c r="L43" s="6" t="n">
        <v>100</v>
      </c>
      <c r="M43" s="7" t="inlineStr">
        <is>
          <t>Not run</t>
        </is>
      </c>
      <c r="N43" s="7" t="inlineStr"/>
    </row>
    <row r="44">
      <c r="A44" s="6" t="inlineStr">
        <is>
          <t>S03</t>
        </is>
      </c>
      <c r="B44" s="6" t="inlineStr">
        <is>
          <t>2026-10-20</t>
        </is>
      </c>
      <c r="C44" s="6" t="n">
        <v>9</v>
      </c>
      <c r="D44" s="6" t="inlineStr">
        <is>
          <t>Juniper Fuels</t>
        </is>
      </c>
      <c r="E44" s="6" t="inlineStr">
        <is>
          <t>Inquiry or RFQ</t>
        </is>
      </c>
      <c r="F44" s="6" t="inlineStr">
        <is>
          <t>Juniper Fuels: inquiry</t>
        </is>
      </c>
      <c r="G44" s="6" t="inlineStr">
        <is>
          <t>Qualified</t>
        </is>
      </c>
      <c r="H44" s="6" t="inlineStr">
        <is>
          <t>Y2</t>
        </is>
      </c>
      <c r="I44" s="6" t="inlineStr">
        <is>
          <t>Named in the file</t>
        </is>
      </c>
      <c r="J44" s="6" t="inlineStr">
        <is>
          <t>Cal Ho</t>
        </is>
      </c>
      <c r="K44" s="6" t="n">
        <v>5</v>
      </c>
      <c r="L44" s="6" t="n">
        <v>100</v>
      </c>
      <c r="M44" s="7" t="inlineStr">
        <is>
          <t>Not run</t>
        </is>
      </c>
      <c r="N44" s="7" t="inlineStr"/>
    </row>
    <row r="45">
      <c r="A45" s="6" t="inlineStr">
        <is>
          <t>S03</t>
        </is>
      </c>
      <c r="B45" s="6" t="inlineStr">
        <is>
          <t>2026-10-20</t>
        </is>
      </c>
      <c r="C45" s="6" t="n">
        <v>10</v>
      </c>
      <c r="D45" s="6" t="inlineStr">
        <is>
          <t>Kingsbridge Fuels</t>
        </is>
      </c>
      <c r="E45" s="6" t="inlineStr">
        <is>
          <t>Inquiry or RFQ</t>
        </is>
      </c>
      <c r="F45" s="6" t="inlineStr">
        <is>
          <t>Kingsbridge Fuels: inquiry</t>
        </is>
      </c>
      <c r="G45" s="6" t="inlineStr">
        <is>
          <t>Not used</t>
        </is>
      </c>
      <c r="H45" s="6" t="inlineStr">
        <is>
          <t>Y2</t>
        </is>
      </c>
      <c r="I45" s="6" t="inlineStr">
        <is>
          <t>Qualified, but the account is below the fit floor</t>
        </is>
      </c>
      <c r="J45" s="6" t="inlineStr">
        <is>
          <t>Dee Lim</t>
        </is>
      </c>
      <c r="K45" s="6" t="n">
        <v>5</v>
      </c>
      <c r="L45" s="6" t="n">
        <v>100</v>
      </c>
      <c r="M45" s="7" t="inlineStr">
        <is>
          <t>Not run</t>
        </is>
      </c>
      <c r="N45" s="7" t="inlineStr"/>
    </row>
    <row r="46">
      <c r="A46" s="4" t="inlineStr">
        <is>
          <t>S04</t>
        </is>
      </c>
      <c r="B46" s="4" t="inlineStr">
        <is>
          <t>2026-10-20</t>
        </is>
      </c>
      <c r="C46" s="4" t="n">
        <v>2</v>
      </c>
      <c r="D46" s="4" t="inlineStr">
        <is>
          <t>Apex Refining</t>
        </is>
      </c>
      <c r="E46" s="4" t="inlineStr">
        <is>
          <t>Inquiry or RFQ</t>
        </is>
      </c>
      <c r="F46" s="4" t="inlineStr">
        <is>
          <t>Apex, Kai: inquiry (100)</t>
        </is>
      </c>
      <c r="G46" s="4" t="inlineStr">
        <is>
          <t>Qualified</t>
        </is>
      </c>
      <c r="H46" s="4" t="inlineStr">
        <is>
          <t>Y2</t>
        </is>
      </c>
      <c r="I46" s="4" t="inlineStr">
        <is>
          <t>Named in the file</t>
        </is>
      </c>
      <c r="J46" s="4" t="inlineStr">
        <is>
          <t>Kai Ong</t>
        </is>
      </c>
      <c r="K46" s="4" t="n">
        <v>3</v>
      </c>
      <c r="L46" s="4" t="n">
        <v>100</v>
      </c>
      <c r="M46" s="5" t="inlineStr">
        <is>
          <t>Not run</t>
        </is>
      </c>
      <c r="N46" s="5" t="inlineStr"/>
    </row>
    <row r="47">
      <c r="A47" s="4" t="inlineStr">
        <is>
          <t>S04</t>
        </is>
      </c>
      <c r="B47" s="4" t="inlineStr">
        <is>
          <t>2026-10-20</t>
        </is>
      </c>
      <c r="C47" s="4" t="n">
        <v>3</v>
      </c>
      <c r="D47" s="4" t="inlineStr">
        <is>
          <t>Apex Refining</t>
        </is>
      </c>
      <c r="E47" s="4" t="inlineStr">
        <is>
          <t>Webinar attended</t>
        </is>
      </c>
      <c r="F47" s="4" t="inlineStr">
        <is>
          <t>Apex, Kai: webinar (60, counts half)</t>
        </is>
      </c>
      <c r="G47" s="4" t="inlineStr">
        <is>
          <t>Qualified</t>
        </is>
      </c>
      <c r="H47" s="4" t="inlineStr">
        <is>
          <t>C1w</t>
        </is>
      </c>
      <c r="I47" s="4" t="inlineStr">
        <is>
          <t>Named in the file</t>
        </is>
      </c>
      <c r="J47" s="4" t="inlineStr">
        <is>
          <t>Kai Ong</t>
        </is>
      </c>
      <c r="K47" s="4" t="n">
        <v>6</v>
      </c>
      <c r="L47" s="4" t="n">
        <v>60</v>
      </c>
      <c r="M47" s="5" t="inlineStr">
        <is>
          <t>Not run</t>
        </is>
      </c>
      <c r="N47" s="5" t="inlineStr"/>
    </row>
    <row r="48">
      <c r="A48" s="4" t="inlineStr">
        <is>
          <t>S04</t>
        </is>
      </c>
      <c r="B48" s="4" t="inlineStr">
        <is>
          <t>2026-10-20</t>
        </is>
      </c>
      <c r="C48" s="4" t="n">
        <v>4</v>
      </c>
      <c r="D48" s="4" t="inlineStr">
        <is>
          <t>Apex Refining</t>
        </is>
      </c>
      <c r="E48" s="4" t="inlineStr">
        <is>
          <t>Email clicked</t>
        </is>
      </c>
      <c r="F48" s="4" t="inlineStr">
        <is>
          <t>Apex, Kai: email click (30, counts a quarter): stacked 137.5, score 68.8</t>
        </is>
      </c>
      <c r="G48" s="4" t="inlineStr">
        <is>
          <t>Qualified</t>
        </is>
      </c>
      <c r="H48" s="4" t="inlineStr">
        <is>
          <t>C1x</t>
        </is>
      </c>
      <c r="I48" s="4" t="inlineStr">
        <is>
          <t>Named in the file</t>
        </is>
      </c>
      <c r="J48" s="4" t="inlineStr">
        <is>
          <t>Kai Ong</t>
        </is>
      </c>
      <c r="K48" s="4" t="n">
        <v>4</v>
      </c>
      <c r="L48" s="4" t="n">
        <v>30</v>
      </c>
      <c r="M48" s="5" t="inlineStr">
        <is>
          <t>Not run</t>
        </is>
      </c>
      <c r="N48" s="5" t="inlineStr"/>
    </row>
    <row r="49">
      <c r="A49" s="4" t="inlineStr">
        <is>
          <t>S04</t>
        </is>
      </c>
      <c r="B49" s="4" t="inlineStr">
        <is>
          <t>2026-10-20</t>
        </is>
      </c>
      <c r="C49" s="4" t="n">
        <v>5</v>
      </c>
      <c r="D49" s="4" t="inlineStr">
        <is>
          <t>Bayfront Refining</t>
        </is>
      </c>
      <c r="E49" s="4" t="inlineStr">
        <is>
          <t>Inquiry or RFQ</t>
        </is>
      </c>
      <c r="F49" s="4" t="inlineStr">
        <is>
          <t>Bayfront, Mia: inquiry</t>
        </is>
      </c>
      <c r="G49" s="4" t="inlineStr">
        <is>
          <t>Qualified</t>
        </is>
      </c>
      <c r="H49" s="4" t="inlineStr">
        <is>
          <t>Y2</t>
        </is>
      </c>
      <c r="I49" s="4" t="inlineStr">
        <is>
          <t>Named in the file</t>
        </is>
      </c>
      <c r="J49" s="4" t="inlineStr">
        <is>
          <t>Mia Tan</t>
        </is>
      </c>
      <c r="K49" s="4" t="n">
        <v>3</v>
      </c>
      <c r="L49" s="4" t="n">
        <v>100</v>
      </c>
      <c r="M49" s="5" t="inlineStr">
        <is>
          <t>Not run</t>
        </is>
      </c>
      <c r="N49" s="5" t="inlineStr"/>
    </row>
    <row r="50">
      <c r="A50" s="4" t="inlineStr">
        <is>
          <t>S04</t>
        </is>
      </c>
      <c r="B50" s="4" t="inlineStr">
        <is>
          <t>2026-10-20</t>
        </is>
      </c>
      <c r="C50" s="4" t="n">
        <v>6</v>
      </c>
      <c r="D50" s="4" t="inlineStr">
        <is>
          <t>Bayfront Refining</t>
        </is>
      </c>
      <c r="E50" s="4" t="inlineStr">
        <is>
          <t>Content download</t>
        </is>
      </c>
      <c r="F50" s="4" t="inlineStr">
        <is>
          <t>Bayfront, Ned: download: account 130, score 65; each person scored on their own</t>
        </is>
      </c>
      <c r="G50" s="4" t="inlineStr">
        <is>
          <t>Qualified</t>
        </is>
      </c>
      <c r="H50" s="4" t="inlineStr">
        <is>
          <t>C1w</t>
        </is>
      </c>
      <c r="I50" s="4" t="inlineStr">
        <is>
          <t>Named in the file</t>
        </is>
      </c>
      <c r="J50" s="4" t="inlineStr">
        <is>
          <t>Ned Lim</t>
        </is>
      </c>
      <c r="K50" s="4" t="n">
        <v>9</v>
      </c>
      <c r="L50" s="4" t="n">
        <v>60</v>
      </c>
      <c r="M50" s="5" t="inlineStr">
        <is>
          <t>Not run</t>
        </is>
      </c>
      <c r="N50" s="5" t="inlineStr"/>
    </row>
    <row r="51">
      <c r="A51" s="4" t="inlineStr">
        <is>
          <t>S04</t>
        </is>
      </c>
      <c r="B51" s="4" t="inlineStr">
        <is>
          <t>2026-10-20</t>
        </is>
      </c>
      <c r="C51" s="4" t="n">
        <v>7</v>
      </c>
      <c r="D51" s="4" t="inlineStr">
        <is>
          <t>Coldwater Refining</t>
        </is>
      </c>
      <c r="E51" s="4" t="inlineStr">
        <is>
          <t>Webinar attended</t>
        </is>
      </c>
      <c r="F51" s="4" t="inlineStr">
        <is>
          <t>Coldwater: webinar</t>
        </is>
      </c>
      <c r="G51" s="4" t="inlineStr">
        <is>
          <t>Qualified</t>
        </is>
      </c>
      <c r="H51" s="4" t="inlineStr">
        <is>
          <t>C1w</t>
        </is>
      </c>
      <c r="I51" s="4" t="inlineStr">
        <is>
          <t>Named in the file</t>
        </is>
      </c>
      <c r="J51" s="4" t="inlineStr">
        <is>
          <t>Oli Ng</t>
        </is>
      </c>
      <c r="K51" s="4" t="n">
        <v>5</v>
      </c>
      <c r="L51" s="4" t="n">
        <v>60</v>
      </c>
      <c r="M51" s="5" t="inlineStr">
        <is>
          <t>Not run</t>
        </is>
      </c>
      <c r="N51" s="5" t="inlineStr"/>
    </row>
    <row r="52">
      <c r="A52" s="4" t="inlineStr">
        <is>
          <t>S04</t>
        </is>
      </c>
      <c r="B52" s="4" t="inlineStr">
        <is>
          <t>2026-10-20</t>
        </is>
      </c>
      <c r="C52" s="4" t="n">
        <v>8</v>
      </c>
      <c r="D52" s="4" t="inlineStr">
        <is>
          <t>Coldwater Refining</t>
        </is>
      </c>
      <c r="E52" s="4" t="inlineStr">
        <is>
          <t>Webinar attended</t>
        </is>
      </c>
      <c r="F52" s="4" t="inlineStr">
        <is>
          <t>Coldwater: another webinar, different date: both count</t>
        </is>
      </c>
      <c r="G52" s="4" t="inlineStr">
        <is>
          <t>Qualified</t>
        </is>
      </c>
      <c r="H52" s="4" t="inlineStr">
        <is>
          <t>C1w</t>
        </is>
      </c>
      <c r="I52" s="4" t="inlineStr">
        <is>
          <t>Named in the file</t>
        </is>
      </c>
      <c r="J52" s="4" t="inlineStr">
        <is>
          <t>Oli Ng</t>
        </is>
      </c>
      <c r="K52" s="4" t="n">
        <v>50</v>
      </c>
      <c r="L52" s="4" t="n">
        <v>52</v>
      </c>
      <c r="M52" s="5" t="inlineStr">
        <is>
          <t>Not run</t>
        </is>
      </c>
      <c r="N52" s="5" t="inlineStr"/>
    </row>
    <row r="53">
      <c r="A53" s="6" t="inlineStr">
        <is>
          <t>S05</t>
        </is>
      </c>
      <c r="B53" s="6" t="inlineStr">
        <is>
          <t>2026-10-20</t>
        </is>
      </c>
      <c r="C53" s="6" t="n">
        <v>2</v>
      </c>
      <c r="D53" s="6" t="inlineStr">
        <is>
          <t>Stonegate Refining</t>
        </is>
      </c>
      <c r="E53" s="6" t="inlineStr">
        <is>
          <t>Installed system (current)</t>
        </is>
      </c>
      <c r="F53" s="6" t="inlineStr">
        <is>
          <t>Stonegate: knocked out</t>
        </is>
      </c>
      <c r="G53" s="6" t="inlineStr">
        <is>
          <t>Used for a knock-out</t>
        </is>
      </c>
      <c r="H53" s="6" t="inlineStr"/>
      <c r="I53" s="6" t="inlineStr">
        <is>
          <t>Current pilot product installed: account excluded</t>
        </is>
      </c>
      <c r="J53" s="6" t="inlineStr"/>
      <c r="K53" s="6" t="inlineStr"/>
      <c r="L53" s="6" t="inlineStr"/>
      <c r="M53" s="7" t="inlineStr">
        <is>
          <t>Not run</t>
        </is>
      </c>
      <c r="N53" s="7" t="inlineStr"/>
    </row>
    <row r="54">
      <c r="A54" s="6" t="inlineStr">
        <is>
          <t>S05</t>
        </is>
      </c>
      <c r="B54" s="6" t="inlineStr">
        <is>
          <t>2026-10-20</t>
        </is>
      </c>
      <c r="C54" s="6" t="n">
        <v>3</v>
      </c>
      <c r="D54" s="6" t="inlineStr">
        <is>
          <t>Stonegate Refining</t>
        </is>
      </c>
      <c r="E54" s="6" t="inlineStr">
        <is>
          <t>Inquiry or RFQ</t>
        </is>
      </c>
      <c r="F54" s="6" t="inlineStr">
        <is>
          <t>Stonegate: inquiry is qualified but not used (account excluded)</t>
        </is>
      </c>
      <c r="G54" s="6" t="inlineStr">
        <is>
          <t>Not used</t>
        </is>
      </c>
      <c r="H54" s="6" t="inlineStr">
        <is>
          <t>Y2</t>
        </is>
      </c>
      <c r="I54" s="6" t="inlineStr">
        <is>
          <t>Qualified, but the account is excluded (Pilot product already installed at the site)</t>
        </is>
      </c>
      <c r="J54" s="6" t="inlineStr">
        <is>
          <t>Gil Ong</t>
        </is>
      </c>
      <c r="K54" s="6" t="n">
        <v>5</v>
      </c>
      <c r="L54" s="6" t="n">
        <v>100</v>
      </c>
      <c r="M54" s="7" t="inlineStr">
        <is>
          <t>Not run</t>
        </is>
      </c>
      <c r="N54" s="7" t="inlineStr"/>
    </row>
    <row r="55">
      <c r="A55" s="6" t="inlineStr">
        <is>
          <t>S05</t>
        </is>
      </c>
      <c r="B55" s="6" t="inlineStr">
        <is>
          <t>2026-10-20</t>
        </is>
      </c>
      <c r="C55" s="6" t="n">
        <v>4</v>
      </c>
      <c r="D55" s="6" t="inlineStr">
        <is>
          <t>Quarry Hill Engineering</t>
        </is>
      </c>
      <c r="E55" s="6" t="inlineStr">
        <is>
          <t>Installed system (current)</t>
        </is>
      </c>
      <c r="F55" s="6" t="inlineStr">
        <is>
          <t>Quarry Hill: knock-out naming a person not in the list: still knocks the account out</t>
        </is>
      </c>
      <c r="G55" s="6" t="inlineStr">
        <is>
          <t>Used for a knock-out</t>
        </is>
      </c>
      <c r="H55" s="6" t="inlineStr"/>
      <c r="I55" s="6" t="inlineStr">
        <is>
          <t>Current pilot product installed: account excluded</t>
        </is>
      </c>
      <c r="J55" s="6" t="inlineStr"/>
      <c r="K55" s="6" t="inlineStr"/>
      <c r="L55" s="6" t="inlineStr"/>
      <c r="M55" s="7" t="inlineStr">
        <is>
          <t>Not run</t>
        </is>
      </c>
      <c r="N55" s="7" t="inlineStr"/>
    </row>
    <row r="56">
      <c r="A56" s="6" t="inlineStr">
        <is>
          <t>S05</t>
        </is>
      </c>
      <c r="B56" s="6" t="inlineStr">
        <is>
          <t>2026-10-20</t>
        </is>
      </c>
      <c r="C56" s="6" t="n">
        <v>5</v>
      </c>
      <c r="D56" s="6" t="inlineStr">
        <is>
          <t>Apex Refining</t>
        </is>
      </c>
      <c r="E56" s="6" t="inlineStr">
        <is>
          <t>Installed system near end of support</t>
        </is>
      </c>
      <c r="F56" s="6" t="inlineStr">
        <is>
          <t>Apex: "near end of support" is a buying signal, not a knock-out</t>
        </is>
      </c>
      <c r="G56" s="6" t="inlineStr">
        <is>
          <t>Qualified</t>
        </is>
      </c>
      <c r="H56" s="6" t="inlineStr">
        <is>
          <t>Y1</t>
        </is>
      </c>
      <c r="I56" s="6" t="inlineStr">
        <is>
          <t>Named in the file</t>
        </is>
      </c>
      <c r="J56" s="6" t="inlineStr">
        <is>
          <t>Kai Ong</t>
        </is>
      </c>
      <c r="K56" s="6" t="n">
        <v>100</v>
      </c>
      <c r="L56" s="6" t="n">
        <v>100</v>
      </c>
      <c r="M56" s="7" t="inlineStr">
        <is>
          <t>Not run</t>
        </is>
      </c>
      <c r="N56" s="7" t="inlineStr"/>
    </row>
    <row r="57">
      <c r="A57" s="4" t="inlineStr">
        <is>
          <t>S07</t>
        </is>
      </c>
      <c r="B57" s="4" t="inlineStr">
        <is>
          <t>2026-10-20</t>
        </is>
      </c>
      <c r="C57" s="4" t="n">
        <v>2</v>
      </c>
      <c r="D57" s="4" t="inlineStr">
        <is>
          <t>Rosewood Refining</t>
        </is>
      </c>
      <c r="E57" s="4" t="inlineStr">
        <is>
          <t>Inquiry or RFQ</t>
        </is>
      </c>
      <c r="F57" s="4" t="inlineStr">
        <is>
          <t>Rosewood, Eli (opted out): inquiry</t>
        </is>
      </c>
      <c r="G57" s="4" t="inlineStr">
        <is>
          <t>Qualified</t>
        </is>
      </c>
      <c r="H57" s="4" t="inlineStr">
        <is>
          <t>Y2</t>
        </is>
      </c>
      <c r="I57" s="4" t="inlineStr">
        <is>
          <t>Named in the file</t>
        </is>
      </c>
      <c r="J57" s="4" t="inlineStr">
        <is>
          <t>Eli Tan</t>
        </is>
      </c>
      <c r="K57" s="4" t="n">
        <v>5</v>
      </c>
      <c r="L57" s="4" t="n">
        <v>100</v>
      </c>
      <c r="M57" s="5" t="inlineStr">
        <is>
          <t>Not run</t>
        </is>
      </c>
      <c r="N57" s="5" t="inlineStr"/>
    </row>
    <row r="58">
      <c r="A58" s="4" t="inlineStr">
        <is>
          <t>S07</t>
        </is>
      </c>
      <c r="B58" s="4" t="inlineStr">
        <is>
          <t>2026-10-20</t>
        </is>
      </c>
      <c r="C58" s="4" t="n">
        <v>3</v>
      </c>
      <c r="D58" s="4" t="inlineStr">
        <is>
          <t>Apex Refining</t>
        </is>
      </c>
      <c r="E58" s="4" t="inlineStr">
        <is>
          <t>Inquiry or RFQ</t>
        </is>
      </c>
      <c r="F58" s="4" t="inlineStr">
        <is>
          <t>Apex: control</t>
        </is>
      </c>
      <c r="G58" s="4" t="inlineStr">
        <is>
          <t>Qualified</t>
        </is>
      </c>
      <c r="H58" s="4" t="inlineStr">
        <is>
          <t>Y2</t>
        </is>
      </c>
      <c r="I58" s="4" t="inlineStr">
        <is>
          <t>Named in the file</t>
        </is>
      </c>
      <c r="J58" s="4" t="inlineStr">
        <is>
          <t>Kai Ong</t>
        </is>
      </c>
      <c r="K58" s="4" t="n">
        <v>5</v>
      </c>
      <c r="L58" s="4" t="n">
        <v>100</v>
      </c>
      <c r="M58" s="5" t="inlineStr">
        <is>
          <t>Not run</t>
        </is>
      </c>
      <c r="N58" s="5" t="inlineStr"/>
    </row>
    <row r="59">
      <c r="A59" s="6" t="inlineStr">
        <is>
          <t>G01</t>
        </is>
      </c>
      <c r="B59" s="6" t="inlineStr">
        <is>
          <t>2026-10-20</t>
        </is>
      </c>
      <c r="C59" s="6" t="n">
        <v>2</v>
      </c>
      <c r="D59" s="6" t="inlineStr">
        <is>
          <t>Apex Refining</t>
        </is>
      </c>
      <c r="E59" s="6" t="inlineStr">
        <is>
          <t>Inquiry or RFQ</t>
        </is>
      </c>
      <c r="F59" s="6" t="inlineStr">
        <is>
          <t>Inquiry or RFQ: qualified</t>
        </is>
      </c>
      <c r="G59" s="6" t="inlineStr">
        <is>
          <t>Qualified</t>
        </is>
      </c>
      <c r="H59" s="6" t="inlineStr">
        <is>
          <t>Y2</t>
        </is>
      </c>
      <c r="I59" s="6" t="inlineStr">
        <is>
          <t>Named in the file</t>
        </is>
      </c>
      <c r="J59" s="6" t="inlineStr">
        <is>
          <t>Kai Ong</t>
        </is>
      </c>
      <c r="K59" s="6" t="n">
        <v>3</v>
      </c>
      <c r="L59" s="6" t="n">
        <v>100</v>
      </c>
      <c r="M59" s="7" t="inlineStr">
        <is>
          <t>Not run</t>
        </is>
      </c>
      <c r="N59" s="7" t="inlineStr"/>
    </row>
    <row r="60">
      <c r="A60" s="6" t="inlineStr">
        <is>
          <t>G01</t>
        </is>
      </c>
      <c r="B60" s="6" t="inlineStr">
        <is>
          <t>2026-10-20</t>
        </is>
      </c>
      <c r="C60" s="6" t="n">
        <v>3</v>
      </c>
      <c r="D60" s="6" t="inlineStr">
        <is>
          <t>Apex Refining</t>
        </is>
      </c>
      <c r="E60" s="6" t="inlineStr">
        <is>
          <t>Installed system near end of support</t>
        </is>
      </c>
      <c r="F60" s="6" t="inlineStr">
        <is>
          <t>Installed system near end of support: qualified</t>
        </is>
      </c>
      <c r="G60" s="6" t="inlineStr">
        <is>
          <t>Qualified</t>
        </is>
      </c>
      <c r="H60" s="6" t="inlineStr">
        <is>
          <t>Y1</t>
        </is>
      </c>
      <c r="I60" s="6" t="inlineStr">
        <is>
          <t>Named in the file</t>
        </is>
      </c>
      <c r="J60" s="6" t="inlineStr">
        <is>
          <t>Kai Ong</t>
        </is>
      </c>
      <c r="K60" s="6" t="n">
        <v>4</v>
      </c>
      <c r="L60" s="6" t="n">
        <v>100</v>
      </c>
      <c r="M60" s="7" t="inlineStr">
        <is>
          <t>Not run</t>
        </is>
      </c>
      <c r="N60" s="7" t="inlineStr"/>
    </row>
    <row r="61">
      <c r="A61" s="6" t="inlineStr">
        <is>
          <t>G01</t>
        </is>
      </c>
      <c r="B61" s="6" t="inlineStr">
        <is>
          <t>2026-10-20</t>
        </is>
      </c>
      <c r="C61" s="6" t="n">
        <v>4</v>
      </c>
      <c r="D61" s="6" t="inlineStr">
        <is>
          <t>Apex Refining</t>
        </is>
      </c>
      <c r="E61" s="6" t="inlineStr">
        <is>
          <t>Service contract renewal</t>
        </is>
      </c>
      <c r="F61" s="6" t="inlineStr">
        <is>
          <t>Service contract renewal: qualified</t>
        </is>
      </c>
      <c r="G61" s="6" t="inlineStr">
        <is>
          <t>Qualified</t>
        </is>
      </c>
      <c r="H61" s="6" t="inlineStr">
        <is>
          <t>Y1</t>
        </is>
      </c>
      <c r="I61" s="6" t="inlineStr">
        <is>
          <t>Named in the file</t>
        </is>
      </c>
      <c r="J61" s="6" t="inlineStr">
        <is>
          <t>Kai Ong</t>
        </is>
      </c>
      <c r="K61" s="6" t="n">
        <v>5</v>
      </c>
      <c r="L61" s="6" t="n">
        <v>60</v>
      </c>
      <c r="M61" s="7" t="inlineStr">
        <is>
          <t>Not run</t>
        </is>
      </c>
      <c r="N61" s="7" t="inlineStr"/>
    </row>
    <row r="62">
      <c r="A62" s="6" t="inlineStr">
        <is>
          <t>G01</t>
        </is>
      </c>
      <c r="B62" s="6" t="inlineStr">
        <is>
          <t>2026-10-20</t>
        </is>
      </c>
      <c r="C62" s="6" t="n">
        <v>5</v>
      </c>
      <c r="D62" s="6" t="inlineStr">
        <is>
          <t>Apex Refining</t>
        </is>
      </c>
      <c r="E62" s="6" t="inlineStr">
        <is>
          <t>Capital project</t>
        </is>
      </c>
      <c r="F62" s="6" t="inlineStr">
        <is>
          <t>Capital project: qualified</t>
        </is>
      </c>
      <c r="G62" s="6" t="inlineStr">
        <is>
          <t>Qualified</t>
        </is>
      </c>
      <c r="H62" s="6" t="inlineStr">
        <is>
          <t>Y4</t>
        </is>
      </c>
      <c r="I62" s="6" t="inlineStr">
        <is>
          <t>Named in the file</t>
        </is>
      </c>
      <c r="J62" s="6" t="inlineStr">
        <is>
          <t>Kai Ong</t>
        </is>
      </c>
      <c r="K62" s="6" t="n">
        <v>6</v>
      </c>
      <c r="L62" s="6" t="n">
        <v>80</v>
      </c>
      <c r="M62" s="7" t="inlineStr">
        <is>
          <t>Not run</t>
        </is>
      </c>
      <c r="N62" s="7" t="inlineStr"/>
    </row>
    <row r="63">
      <c r="A63" s="6" t="inlineStr">
        <is>
          <t>G01</t>
        </is>
      </c>
      <c r="B63" s="6" t="inlineStr">
        <is>
          <t>2026-10-20</t>
        </is>
      </c>
      <c r="C63" s="6" t="n">
        <v>6</v>
      </c>
      <c r="D63" s="6" t="inlineStr">
        <is>
          <t>Apex Refining</t>
        </is>
      </c>
      <c r="E63" s="6" t="inlineStr">
        <is>
          <t>Leadership change</t>
        </is>
      </c>
      <c r="F63" s="6" t="inlineStr">
        <is>
          <t>Leadership change: qualified</t>
        </is>
      </c>
      <c r="G63" s="6" t="inlineStr">
        <is>
          <t>Qualified</t>
        </is>
      </c>
      <c r="H63" s="6" t="inlineStr">
        <is>
          <t>C1c</t>
        </is>
      </c>
      <c r="I63" s="6" t="inlineStr">
        <is>
          <t>Named in the file</t>
        </is>
      </c>
      <c r="J63" s="6" t="inlineStr">
        <is>
          <t>Kai Ong</t>
        </is>
      </c>
      <c r="K63" s="6" t="n">
        <v>7</v>
      </c>
      <c r="L63" s="6" t="n">
        <v>45</v>
      </c>
      <c r="M63" s="7" t="inlineStr">
        <is>
          <t>Not run</t>
        </is>
      </c>
      <c r="N63" s="7" t="inlineStr"/>
    </row>
    <row r="64">
      <c r="A64" s="6" t="inlineStr">
        <is>
          <t>G01</t>
        </is>
      </c>
      <c r="B64" s="6" t="inlineStr">
        <is>
          <t>2026-10-20</t>
        </is>
      </c>
      <c r="C64" s="6" t="n">
        <v>7</v>
      </c>
      <c r="D64" s="6" t="inlineStr">
        <is>
          <t>Apex Refining</t>
        </is>
      </c>
      <c r="E64" s="6" t="inlineStr">
        <is>
          <t>Webinar attended</t>
        </is>
      </c>
      <c r="F64" s="6" t="inlineStr">
        <is>
          <t>Webinar attended: qualified</t>
        </is>
      </c>
      <c r="G64" s="6" t="inlineStr">
        <is>
          <t>Qualified</t>
        </is>
      </c>
      <c r="H64" s="6" t="inlineStr">
        <is>
          <t>C1w</t>
        </is>
      </c>
      <c r="I64" s="6" t="inlineStr">
        <is>
          <t>Named in the file</t>
        </is>
      </c>
      <c r="J64" s="6" t="inlineStr">
        <is>
          <t>Kai Ong</t>
        </is>
      </c>
      <c r="K64" s="6" t="n">
        <v>8</v>
      </c>
      <c r="L64" s="6" t="n">
        <v>60</v>
      </c>
      <c r="M64" s="7" t="inlineStr">
        <is>
          <t>Not run</t>
        </is>
      </c>
      <c r="N64" s="7" t="inlineStr"/>
    </row>
    <row r="65">
      <c r="A65" s="6" t="inlineStr">
        <is>
          <t>G01</t>
        </is>
      </c>
      <c r="B65" s="6" t="inlineStr">
        <is>
          <t>2026-10-20</t>
        </is>
      </c>
      <c r="C65" s="6" t="n">
        <v>8</v>
      </c>
      <c r="D65" s="6" t="inlineStr">
        <is>
          <t>Apex Refining</t>
        </is>
      </c>
      <c r="E65" s="6" t="inlineStr">
        <is>
          <t>Webinar registered</t>
        </is>
      </c>
      <c r="F65" s="6" t="inlineStr">
        <is>
          <t>Webinar registered: qualified</t>
        </is>
      </c>
      <c r="G65" s="6" t="inlineStr">
        <is>
          <t>Qualified</t>
        </is>
      </c>
      <c r="H65" s="6" t="inlineStr">
        <is>
          <t>C1w</t>
        </is>
      </c>
      <c r="I65" s="6" t="inlineStr">
        <is>
          <t>Named in the file</t>
        </is>
      </c>
      <c r="J65" s="6" t="inlineStr">
        <is>
          <t>Kai Ong</t>
        </is>
      </c>
      <c r="K65" s="6" t="n">
        <v>9</v>
      </c>
      <c r="L65" s="6" t="n">
        <v>30</v>
      </c>
      <c r="M65" s="7" t="inlineStr">
        <is>
          <t>Not run</t>
        </is>
      </c>
      <c r="N65" s="7" t="inlineStr"/>
    </row>
    <row r="66">
      <c r="A66" s="6" t="inlineStr">
        <is>
          <t>G01</t>
        </is>
      </c>
      <c r="B66" s="6" t="inlineStr">
        <is>
          <t>2026-10-20</t>
        </is>
      </c>
      <c r="C66" s="6" t="n">
        <v>9</v>
      </c>
      <c r="D66" s="6" t="inlineStr">
        <is>
          <t>Apex Refining</t>
        </is>
      </c>
      <c r="E66" s="6" t="inlineStr">
        <is>
          <t>Content download</t>
        </is>
      </c>
      <c r="F66" s="6" t="inlineStr">
        <is>
          <t>Content download: qualified</t>
        </is>
      </c>
      <c r="G66" s="6" t="inlineStr">
        <is>
          <t>Qualified</t>
        </is>
      </c>
      <c r="H66" s="6" t="inlineStr">
        <is>
          <t>C1w</t>
        </is>
      </c>
      <c r="I66" s="6" t="inlineStr">
        <is>
          <t>Named in the file</t>
        </is>
      </c>
      <c r="J66" s="6" t="inlineStr">
        <is>
          <t>Kai Ong</t>
        </is>
      </c>
      <c r="K66" s="6" t="n">
        <v>10</v>
      </c>
      <c r="L66" s="6" t="n">
        <v>60</v>
      </c>
      <c r="M66" s="7" t="inlineStr">
        <is>
          <t>Not run</t>
        </is>
      </c>
      <c r="N66" s="7" t="inlineStr"/>
    </row>
    <row r="67">
      <c r="A67" s="6" t="inlineStr">
        <is>
          <t>G01</t>
        </is>
      </c>
      <c r="B67" s="6" t="inlineStr">
        <is>
          <t>2026-10-20</t>
        </is>
      </c>
      <c r="C67" s="6" t="n">
        <v>10</v>
      </c>
      <c r="D67" s="6" t="inlineStr">
        <is>
          <t>Apex Refining</t>
        </is>
      </c>
      <c r="E67" s="6" t="inlineStr">
        <is>
          <t>Email clicked</t>
        </is>
      </c>
      <c r="F67" s="6" t="inlineStr">
        <is>
          <t>Email clicked: qualified</t>
        </is>
      </c>
      <c r="G67" s="6" t="inlineStr">
        <is>
          <t>Qualified</t>
        </is>
      </c>
      <c r="H67" s="6" t="inlineStr">
        <is>
          <t>C1x</t>
        </is>
      </c>
      <c r="I67" s="6" t="inlineStr">
        <is>
          <t>Named in the file</t>
        </is>
      </c>
      <c r="J67" s="6" t="inlineStr">
        <is>
          <t>Kai Ong</t>
        </is>
      </c>
      <c r="K67" s="6" t="n">
        <v>11</v>
      </c>
      <c r="L67" s="6" t="n">
        <v>30</v>
      </c>
      <c r="M67" s="7" t="inlineStr">
        <is>
          <t>Not run</t>
        </is>
      </c>
      <c r="N67" s="7" t="inlineStr"/>
    </row>
    <row r="68">
      <c r="A68" s="6" t="inlineStr">
        <is>
          <t>G01</t>
        </is>
      </c>
      <c r="B68" s="6" t="inlineStr">
        <is>
          <t>2026-10-20</t>
        </is>
      </c>
      <c r="C68" s="6" t="n">
        <v>11</v>
      </c>
      <c r="D68" s="6" t="inlineStr">
        <is>
          <t>Apex Refining</t>
        </is>
      </c>
      <c r="E68" s="6" t="inlineStr">
        <is>
          <t>Newsletter sign-up</t>
        </is>
      </c>
      <c r="F68" s="6" t="inlineStr">
        <is>
          <t>Newsletter sign-up: rejected D1 (does not predict buying)</t>
        </is>
      </c>
      <c r="G68" s="6" t="inlineStr">
        <is>
          <t>Rejected</t>
        </is>
      </c>
      <c r="H68" s="6" t="inlineStr">
        <is>
          <t>D1</t>
        </is>
      </c>
      <c r="I68" s="6" t="inlineStr">
        <is>
          <t>Doesn't predict buying the pilot product</t>
        </is>
      </c>
      <c r="J68" s="6" t="inlineStr">
        <is>
          <t>Kai Ong</t>
        </is>
      </c>
      <c r="K68" s="6" t="n">
        <v>4</v>
      </c>
      <c r="L68" s="6" t="inlineStr"/>
      <c r="M68" s="7" t="inlineStr">
        <is>
          <t>Not run</t>
        </is>
      </c>
      <c r="N68" s="7" t="inlineStr"/>
    </row>
    <row r="69">
      <c r="A69" s="4" t="inlineStr">
        <is>
          <t>G02</t>
        </is>
      </c>
      <c r="B69" s="4" t="inlineStr">
        <is>
          <t>2026-10-20</t>
        </is>
      </c>
      <c r="C69" s="4" t="n">
        <v>2</v>
      </c>
      <c r="D69" s="4" t="inlineStr">
        <is>
          <t>Apex Refining</t>
        </is>
      </c>
      <c r="E69" s="4" t="inlineStr">
        <is>
          <t>Webinar attended</t>
        </is>
      </c>
      <c r="F69" s="4" t="inlineStr">
        <is>
          <t>Exact name: matched</t>
        </is>
      </c>
      <c r="G69" s="4" t="inlineStr">
        <is>
          <t>Qualified</t>
        </is>
      </c>
      <c r="H69" s="4" t="inlineStr">
        <is>
          <t>C1w</t>
        </is>
      </c>
      <c r="I69" s="4" t="inlineStr">
        <is>
          <t>Named in the file</t>
        </is>
      </c>
      <c r="J69" s="4" t="inlineStr">
        <is>
          <t>Kai Ong</t>
        </is>
      </c>
      <c r="K69" s="4" t="n">
        <v>5</v>
      </c>
      <c r="L69" s="4" t="n">
        <v>60</v>
      </c>
      <c r="M69" s="5" t="inlineStr">
        <is>
          <t>Not run</t>
        </is>
      </c>
      <c r="N69" s="5" t="inlineStr"/>
    </row>
    <row r="70">
      <c r="A70" s="4" t="inlineStr">
        <is>
          <t>G02</t>
        </is>
      </c>
      <c r="B70" s="4" t="inlineStr">
        <is>
          <t>2026-10-20</t>
        </is>
      </c>
      <c r="C70" s="4" t="n">
        <v>3</v>
      </c>
      <c r="D70" s="4" t="inlineStr">
        <is>
          <t>APEX REFINING</t>
        </is>
      </c>
      <c r="E70" s="4" t="inlineStr">
        <is>
          <t>Content download</t>
        </is>
      </c>
      <c r="F70" s="4" t="inlineStr">
        <is>
          <t>Capitals: matched</t>
        </is>
      </c>
      <c r="G70" s="4" t="inlineStr">
        <is>
          <t>Qualified</t>
        </is>
      </c>
      <c r="H70" s="4" t="inlineStr">
        <is>
          <t>C1w</t>
        </is>
      </c>
      <c r="I70" s="4" t="inlineStr">
        <is>
          <t>Named in the file</t>
        </is>
      </c>
      <c r="J70" s="4" t="inlineStr">
        <is>
          <t>Kai Ong</t>
        </is>
      </c>
      <c r="K70" s="4" t="n">
        <v>6</v>
      </c>
      <c r="L70" s="4" t="n">
        <v>60</v>
      </c>
      <c r="M70" s="5" t="inlineStr">
        <is>
          <t>Not run</t>
        </is>
      </c>
      <c r="N70" s="5" t="inlineStr"/>
    </row>
    <row r="71">
      <c r="A71" s="4" t="inlineStr">
        <is>
          <t>G02</t>
        </is>
      </c>
      <c r="B71" s="4" t="inlineStr">
        <is>
          <t>2026-10-20</t>
        </is>
      </c>
      <c r="C71" s="4" t="n">
        <v>4</v>
      </c>
      <c r="D71" s="4" t="inlineStr">
        <is>
          <t>Apex  Refining</t>
        </is>
      </c>
      <c r="E71" s="4" t="inlineStr">
        <is>
          <t>Email clicked</t>
        </is>
      </c>
      <c r="F71" s="4" t="inlineStr">
        <is>
          <t>Double space and trailing space: matched</t>
        </is>
      </c>
      <c r="G71" s="4" t="inlineStr">
        <is>
          <t>Qualified</t>
        </is>
      </c>
      <c r="H71" s="4" t="inlineStr">
        <is>
          <t>C1x</t>
        </is>
      </c>
      <c r="I71" s="4" t="inlineStr">
        <is>
          <t>Named in the file</t>
        </is>
      </c>
      <c r="J71" s="4" t="inlineStr">
        <is>
          <t>Kai Ong</t>
        </is>
      </c>
      <c r="K71" s="4" t="n">
        <v>7</v>
      </c>
      <c r="L71" s="4" t="n">
        <v>30</v>
      </c>
      <c r="M71" s="5" t="inlineStr">
        <is>
          <t>Not run</t>
        </is>
      </c>
      <c r="N71" s="5" t="inlineStr"/>
    </row>
    <row r="72">
      <c r="A72" s="4" t="inlineStr">
        <is>
          <t>G02</t>
        </is>
      </c>
      <c r="B72" s="4" t="inlineStr">
        <is>
          <t>2026-10-20</t>
        </is>
      </c>
      <c r="C72" s="4" t="n">
        <v>5</v>
      </c>
      <c r="D72" s="4" t="inlineStr">
        <is>
          <t>Apex Refining Ltd</t>
        </is>
      </c>
      <c r="E72" s="4" t="inlineStr">
        <is>
          <t>Webinar registered</t>
        </is>
      </c>
      <c r="F72" s="4" t="inlineStr">
        <is>
          <t>"Ltd" added: not matched (D4): names must be written as in the list</t>
        </is>
      </c>
      <c r="G72" s="4" t="inlineStr">
        <is>
          <t>Rejected</t>
        </is>
      </c>
      <c r="H72" s="4" t="inlineStr">
        <is>
          <t>D4</t>
        </is>
      </c>
      <c r="I72" s="4" t="inlineStr">
        <is>
          <t>Company is not in the target universe</t>
        </is>
      </c>
      <c r="J72" s="4" t="inlineStr"/>
      <c r="K72" s="4" t="inlineStr"/>
      <c r="L72" s="4" t="inlineStr"/>
      <c r="M72" s="5" t="inlineStr">
        <is>
          <t>Not run</t>
        </is>
      </c>
      <c r="N72" s="5" t="inlineStr"/>
    </row>
    <row r="73">
      <c r="A73" s="4" t="inlineStr">
        <is>
          <t>G02</t>
        </is>
      </c>
      <c r="B73" s="4" t="inlineStr">
        <is>
          <t>2026-10-20</t>
        </is>
      </c>
      <c r="C73" s="4" t="n">
        <v>6</v>
      </c>
      <c r="D73" s="4" t="inlineStr">
        <is>
          <t>Unknown Refining</t>
        </is>
      </c>
      <c r="E73" s="4" t="inlineStr">
        <is>
          <t>Inquiry or RFQ</t>
        </is>
      </c>
      <c r="F73" s="4" t="inlineStr">
        <is>
          <t>Company not in the list: rejected D4</t>
        </is>
      </c>
      <c r="G73" s="4" t="inlineStr">
        <is>
          <t>Rejected</t>
        </is>
      </c>
      <c r="H73" s="4" t="inlineStr">
        <is>
          <t>D4</t>
        </is>
      </c>
      <c r="I73" s="4" t="inlineStr">
        <is>
          <t>Company is not in the target universe</t>
        </is>
      </c>
      <c r="J73" s="4" t="inlineStr"/>
      <c r="K73" s="4" t="inlineStr"/>
      <c r="L73" s="4" t="inlineStr"/>
      <c r="M73" s="5" t="inlineStr">
        <is>
          <t>Not run</t>
        </is>
      </c>
      <c r="N73" s="5" t="inlineStr"/>
    </row>
    <row r="74">
      <c r="A74" s="4" t="inlineStr">
        <is>
          <t>G02</t>
        </is>
      </c>
      <c r="B74" s="4" t="inlineStr">
        <is>
          <t>2026-10-20</t>
        </is>
      </c>
      <c r="C74" s="4" t="n">
        <v>7</v>
      </c>
      <c r="D74" s="4" t="inlineStr">
        <is>
          <t>(blank)</t>
        </is>
      </c>
      <c r="E74" s="4" t="inlineStr">
        <is>
          <t>Inquiry or RFQ</t>
        </is>
      </c>
      <c r="F74" s="4" t="inlineStr">
        <is>
          <t>No company name: rejected D3</t>
        </is>
      </c>
      <c r="G74" s="4" t="inlineStr">
        <is>
          <t>Rejected</t>
        </is>
      </c>
      <c r="H74" s="4" t="inlineStr">
        <is>
          <t>D3</t>
        </is>
      </c>
      <c r="I74" s="4" t="inlineStr">
        <is>
          <t>No company name</t>
        </is>
      </c>
      <c r="J74" s="4" t="inlineStr"/>
      <c r="K74" s="4" t="inlineStr"/>
      <c r="L74" s="4" t="inlineStr"/>
      <c r="M74" s="5" t="inlineStr">
        <is>
          <t>Not run</t>
        </is>
      </c>
      <c r="N74" s="5" t="inlineStr"/>
    </row>
    <row r="75">
      <c r="A75" s="4" t="inlineStr">
        <is>
          <t>G02</t>
        </is>
      </c>
      <c r="B75" s="4" t="inlineStr">
        <is>
          <t>2026-10-20</t>
        </is>
      </c>
      <c r="C75" s="4" t="n">
        <v>8</v>
      </c>
      <c r="D75" s="4" t="inlineStr">
        <is>
          <t>Tidewater Refining</t>
        </is>
      </c>
      <c r="E75" s="4" t="inlineStr">
        <is>
          <t>Inquiry or RFQ</t>
        </is>
      </c>
      <c r="F75" s="4" t="inlineStr">
        <is>
          <t>Company in the list but excluded (Australia): qualified, then not used</t>
        </is>
      </c>
      <c r="G75" s="4" t="inlineStr">
        <is>
          <t>Not used</t>
        </is>
      </c>
      <c r="H75" s="4" t="inlineStr">
        <is>
          <t>Y2</t>
        </is>
      </c>
      <c r="I75" s="4" t="inlineStr">
        <is>
          <t>Qualified, but the account is excluded (Outside the pilot region (Australia))</t>
        </is>
      </c>
      <c r="J75" s="4" t="inlineStr">
        <is>
          <t>Hu Koh</t>
        </is>
      </c>
      <c r="K75" s="4" t="n">
        <v>5</v>
      </c>
      <c r="L75" s="4" t="n">
        <v>100</v>
      </c>
      <c r="M75" s="5" t="inlineStr">
        <is>
          <t>Not run</t>
        </is>
      </c>
      <c r="N75" s="5" t="inlineStr"/>
    </row>
    <row r="76">
      <c r="A76" s="6" t="inlineStr">
        <is>
          <t>G03</t>
        </is>
      </c>
      <c r="B76" s="6" t="inlineStr">
        <is>
          <t>2026-10-20</t>
        </is>
      </c>
      <c r="C76" s="6" t="n">
        <v>2</v>
      </c>
      <c r="D76" s="6" t="inlineStr">
        <is>
          <t>Apex Refining</t>
        </is>
      </c>
      <c r="E76" s="6" t="inlineStr">
        <is>
          <t>Webinar attended</t>
        </is>
      </c>
      <c r="F76" s="6" t="inlineStr">
        <is>
          <t>Email exactly as in the list: matched</t>
        </is>
      </c>
      <c r="G76" s="6" t="inlineStr">
        <is>
          <t>Qualified</t>
        </is>
      </c>
      <c r="H76" s="6" t="inlineStr">
        <is>
          <t>C1w</t>
        </is>
      </c>
      <c r="I76" s="6" t="inlineStr">
        <is>
          <t>Named in the file</t>
        </is>
      </c>
      <c r="J76" s="6" t="inlineStr">
        <is>
          <t>Kai Ong</t>
        </is>
      </c>
      <c r="K76" s="6" t="n">
        <v>5</v>
      </c>
      <c r="L76" s="6" t="n">
        <v>60</v>
      </c>
      <c r="M76" s="7" t="inlineStr">
        <is>
          <t>Not run</t>
        </is>
      </c>
      <c r="N76" s="7" t="inlineStr"/>
    </row>
    <row r="77">
      <c r="A77" s="6" t="inlineStr">
        <is>
          <t>G03</t>
        </is>
      </c>
      <c r="B77" s="6" t="inlineStr">
        <is>
          <t>2026-10-20</t>
        </is>
      </c>
      <c r="C77" s="6" t="n">
        <v>3</v>
      </c>
      <c r="D77" s="6" t="inlineStr">
        <is>
          <t>Apex Refining</t>
        </is>
      </c>
      <c r="E77" s="6" t="inlineStr">
        <is>
          <t>Content download</t>
        </is>
      </c>
      <c r="F77" s="6" t="inlineStr">
        <is>
          <t>Email in capitals: matched</t>
        </is>
      </c>
      <c r="G77" s="6" t="inlineStr">
        <is>
          <t>Qualified</t>
        </is>
      </c>
      <c r="H77" s="6" t="inlineStr">
        <is>
          <t>C1w</t>
        </is>
      </c>
      <c r="I77" s="6" t="inlineStr">
        <is>
          <t>Named in the file</t>
        </is>
      </c>
      <c r="J77" s="6" t="inlineStr">
        <is>
          <t>Kai Ong</t>
        </is>
      </c>
      <c r="K77" s="6" t="n">
        <v>6</v>
      </c>
      <c r="L77" s="6" t="n">
        <v>60</v>
      </c>
      <c r="M77" s="7" t="inlineStr">
        <is>
          <t>Not run</t>
        </is>
      </c>
      <c r="N77" s="7" t="inlineStr"/>
    </row>
    <row r="78">
      <c r="A78" s="6" t="inlineStr">
        <is>
          <t>G03</t>
        </is>
      </c>
      <c r="B78" s="6" t="inlineStr">
        <is>
          <t>2026-10-20</t>
        </is>
      </c>
      <c r="C78" s="6" t="n">
        <v>4</v>
      </c>
      <c r="D78" s="6" t="inlineStr">
        <is>
          <t>Apex Refining</t>
        </is>
      </c>
      <c r="E78" s="6" t="inlineStr">
        <is>
          <t>Email clicked</t>
        </is>
      </c>
      <c r="F78" s="6" t="inlineStr">
        <is>
          <t>LinkedIn URL: matched</t>
        </is>
      </c>
      <c r="G78" s="6" t="inlineStr">
        <is>
          <t>Qualified</t>
        </is>
      </c>
      <c r="H78" s="6" t="inlineStr">
        <is>
          <t>C1x</t>
        </is>
      </c>
      <c r="I78" s="6" t="inlineStr">
        <is>
          <t>Named in the file</t>
        </is>
      </c>
      <c r="J78" s="6" t="inlineStr">
        <is>
          <t>Kai Ong</t>
        </is>
      </c>
      <c r="K78" s="6" t="n">
        <v>7</v>
      </c>
      <c r="L78" s="6" t="n">
        <v>30</v>
      </c>
      <c r="M78" s="7" t="inlineStr">
        <is>
          <t>Not run</t>
        </is>
      </c>
      <c r="N78" s="7" t="inlineStr"/>
    </row>
    <row r="79">
      <c r="A79" s="6" t="inlineStr">
        <is>
          <t>G03</t>
        </is>
      </c>
      <c r="B79" s="6" t="inlineStr">
        <is>
          <t>2026-10-20</t>
        </is>
      </c>
      <c r="C79" s="6" t="n">
        <v>5</v>
      </c>
      <c r="D79" s="6" t="inlineStr">
        <is>
          <t>Apex Refining</t>
        </is>
      </c>
      <c r="E79" s="6" t="inlineStr">
        <is>
          <t>Webinar registered</t>
        </is>
      </c>
      <c r="F79" s="6" t="inlineStr">
        <is>
          <t>LinkedIn URL in another form: matched</t>
        </is>
      </c>
      <c r="G79" s="6" t="inlineStr">
        <is>
          <t>Qualified</t>
        </is>
      </c>
      <c r="H79" s="6" t="inlineStr">
        <is>
          <t>C1w</t>
        </is>
      </c>
      <c r="I79" s="6" t="inlineStr">
        <is>
          <t>Named in the file</t>
        </is>
      </c>
      <c r="J79" s="6" t="inlineStr">
        <is>
          <t>Kai Ong</t>
        </is>
      </c>
      <c r="K79" s="6" t="n">
        <v>8</v>
      </c>
      <c r="L79" s="6" t="n">
        <v>30</v>
      </c>
      <c r="M79" s="7" t="inlineStr">
        <is>
          <t>Not run</t>
        </is>
      </c>
      <c r="N79" s="7" t="inlineStr"/>
    </row>
    <row r="80">
      <c r="A80" s="6" t="inlineStr">
        <is>
          <t>G03</t>
        </is>
      </c>
      <c r="B80" s="6" t="inlineStr">
        <is>
          <t>2026-10-20</t>
        </is>
      </c>
      <c r="C80" s="6" t="n">
        <v>6</v>
      </c>
      <c r="D80" s="6" t="inlineStr">
        <is>
          <t>Apex Refining</t>
        </is>
      </c>
      <c r="E80" s="6" t="inlineStr">
        <is>
          <t>Inquiry or RFQ</t>
        </is>
      </c>
      <c r="F80" s="6" t="inlineStr">
        <is>
          <t>Person not in the list: rejected D4, offered as a suggested new contact</t>
        </is>
      </c>
      <c r="G80" s="6" t="inlineStr">
        <is>
          <t>Rejected</t>
        </is>
      </c>
      <c r="H80" s="6" t="inlineStr">
        <is>
          <t>D4</t>
        </is>
      </c>
      <c r="I80" s="6" t="inlineStr">
        <is>
          <t>Person new.person@apexrefining.example is not in the lead file for this account (sent back as a suggested new contact)</t>
        </is>
      </c>
      <c r="J80" s="6" t="inlineStr"/>
      <c r="K80" s="6" t="inlineStr"/>
      <c r="L80" s="6" t="inlineStr"/>
      <c r="M80" s="7" t="inlineStr">
        <is>
          <t>Not run</t>
        </is>
      </c>
      <c r="N80" s="7" t="inlineStr"/>
    </row>
    <row r="81">
      <c r="A81" s="6" t="inlineStr">
        <is>
          <t>G03</t>
        </is>
      </c>
      <c r="B81" s="6" t="inlineStr">
        <is>
          <t>2026-10-20</t>
        </is>
      </c>
      <c r="C81" s="6" t="n">
        <v>7</v>
      </c>
      <c r="D81" s="6" t="inlineStr">
        <is>
          <t>Bayfront Refining</t>
        </is>
      </c>
      <c r="E81" s="6" t="inlineStr">
        <is>
          <t>Inquiry or RFQ</t>
        </is>
      </c>
      <c r="F81" s="6" t="inlineStr">
        <is>
          <t>No person named: given to the primary-persona contact (Mia Tan), flagged as auto-assigned</t>
        </is>
      </c>
      <c r="G81" s="6" t="inlineStr">
        <is>
          <t>Qualified</t>
        </is>
      </c>
      <c r="H81" s="6" t="inlineStr">
        <is>
          <t>Y2</t>
        </is>
      </c>
      <c r="I81" s="6" t="inlineStr">
        <is>
          <t>Auto-assigned to the primary-persona contact</t>
        </is>
      </c>
      <c r="J81" s="6" t="inlineStr">
        <is>
          <t>Mia Tan</t>
        </is>
      </c>
      <c r="K81" s="6" t="n">
        <v>5</v>
      </c>
      <c r="L81" s="6" t="n">
        <v>100</v>
      </c>
      <c r="M81" s="7" t="inlineStr">
        <is>
          <t>Not run</t>
        </is>
      </c>
      <c r="N81" s="7" t="inlineStr"/>
    </row>
    <row r="82">
      <c r="A82" s="6" t="inlineStr">
        <is>
          <t>G03</t>
        </is>
      </c>
      <c r="B82" s="6" t="inlineStr">
        <is>
          <t>2026-10-20</t>
        </is>
      </c>
      <c r="C82" s="6" t="n">
        <v>8</v>
      </c>
      <c r="D82" s="6" t="inlineStr">
        <is>
          <t>Larkspur Refining</t>
        </is>
      </c>
      <c r="E82" s="6" t="inlineStr">
        <is>
          <t>Inquiry or RFQ</t>
        </is>
      </c>
      <c r="F82" s="6" t="inlineStr">
        <is>
          <t>No person named, no primary contact at the account: given to Bea Ang, flagged</t>
        </is>
      </c>
      <c r="G82" s="6" t="inlineStr">
        <is>
          <t>Qualified</t>
        </is>
      </c>
      <c r="H82" s="6" t="inlineStr">
        <is>
          <t>Y2</t>
        </is>
      </c>
      <c r="I82" s="6" t="inlineStr">
        <is>
          <t>Auto-assigned (no primary-persona contact)</t>
        </is>
      </c>
      <c r="J82" s="6" t="inlineStr">
        <is>
          <t>Bea Ang</t>
        </is>
      </c>
      <c r="K82" s="6" t="n">
        <v>5</v>
      </c>
      <c r="L82" s="6" t="n">
        <v>100</v>
      </c>
      <c r="M82" s="7" t="inlineStr">
        <is>
          <t>Not run</t>
        </is>
      </c>
      <c r="N82" s="7" t="inlineStr"/>
    </row>
    <row r="83">
      <c r="A83" s="6" t="inlineStr">
        <is>
          <t>G03</t>
        </is>
      </c>
      <c r="B83" s="6" t="inlineStr">
        <is>
          <t>2026-10-20</t>
        </is>
      </c>
      <c r="C83" s="6" t="n">
        <v>9</v>
      </c>
      <c r="D83" s="6" t="inlineStr">
        <is>
          <t>Rosewood Refining</t>
        </is>
      </c>
      <c r="E83" s="6" t="inlineStr">
        <is>
          <t>Inquiry or RFQ</t>
        </is>
      </c>
      <c r="F83" s="6" t="inlineStr">
        <is>
          <t>No person named, primary opted out: given to the secondary contact, not the opted-out one</t>
        </is>
      </c>
      <c r="G83" s="6" t="inlineStr">
        <is>
          <t>Qualified</t>
        </is>
      </c>
      <c r="H83" s="6" t="inlineStr">
        <is>
          <t>Y2</t>
        </is>
      </c>
      <c r="I83" s="6" t="inlineStr">
        <is>
          <t>Auto-assigned (no primary-persona contact)</t>
        </is>
      </c>
      <c r="J83" s="6" t="inlineStr">
        <is>
          <t>Fia Ng</t>
        </is>
      </c>
      <c r="K83" s="6" t="n">
        <v>5</v>
      </c>
      <c r="L83" s="6" t="n">
        <v>100</v>
      </c>
      <c r="M83" s="7" t="inlineStr">
        <is>
          <t>Not run</t>
        </is>
      </c>
      <c r="N83" s="7" t="inlineStr"/>
    </row>
    <row r="84">
      <c r="A84" s="4" t="inlineStr">
        <is>
          <t>G04</t>
        </is>
      </c>
      <c r="B84" s="4" t="inlineStr">
        <is>
          <t>2026-10-20</t>
        </is>
      </c>
      <c r="C84" s="4" t="n">
        <v>2</v>
      </c>
      <c r="D84" s="4" t="inlineStr">
        <is>
          <t>Apex Refining</t>
        </is>
      </c>
      <c r="E84" s="4" t="inlineStr">
        <is>
          <t>Webinar attended</t>
        </is>
      </c>
      <c r="F84" s="4" t="inlineStr">
        <is>
          <t>YYYY-MM-DD: qualified</t>
        </is>
      </c>
      <c r="G84" s="4" t="inlineStr">
        <is>
          <t>Qualified</t>
        </is>
      </c>
      <c r="H84" s="4" t="inlineStr">
        <is>
          <t>C1w</t>
        </is>
      </c>
      <c r="I84" s="4" t="inlineStr">
        <is>
          <t>Named in the file</t>
        </is>
      </c>
      <c r="J84" s="4" t="inlineStr">
        <is>
          <t>Kai Ong</t>
        </is>
      </c>
      <c r="K84" s="4" t="n">
        <v>5</v>
      </c>
      <c r="L84" s="4" t="n">
        <v>60</v>
      </c>
      <c r="M84" s="5" t="inlineStr">
        <is>
          <t>Not run</t>
        </is>
      </c>
      <c r="N84" s="5" t="inlineStr"/>
    </row>
    <row r="85">
      <c r="A85" s="4" t="inlineStr">
        <is>
          <t>G04</t>
        </is>
      </c>
      <c r="B85" s="4" t="inlineStr">
        <is>
          <t>2026-10-20</t>
        </is>
      </c>
      <c r="C85" s="4" t="n">
        <v>3</v>
      </c>
      <c r="D85" s="4" t="inlineStr">
        <is>
          <t>Apex Refining</t>
        </is>
      </c>
      <c r="E85" s="4" t="inlineStr">
        <is>
          <t>Content download</t>
        </is>
      </c>
      <c r="F85" s="4" t="inlineStr">
        <is>
          <t>On the scoring date (0 days old): qualified</t>
        </is>
      </c>
      <c r="G85" s="4" t="inlineStr">
        <is>
          <t>Qualified</t>
        </is>
      </c>
      <c r="H85" s="4" t="inlineStr">
        <is>
          <t>C1w</t>
        </is>
      </c>
      <c r="I85" s="4" t="inlineStr">
        <is>
          <t>Named in the file</t>
        </is>
      </c>
      <c r="J85" s="4" t="inlineStr">
        <is>
          <t>Kai Ong</t>
        </is>
      </c>
      <c r="K85" s="4" t="n">
        <v>0</v>
      </c>
      <c r="L85" s="4" t="n">
        <v>60</v>
      </c>
      <c r="M85" s="5" t="inlineStr">
        <is>
          <t>Not run</t>
        </is>
      </c>
      <c r="N85" s="5" t="inlineStr"/>
    </row>
    <row r="86">
      <c r="A86" s="4" t="inlineStr">
        <is>
          <t>G04</t>
        </is>
      </c>
      <c r="B86" s="4" t="inlineStr">
        <is>
          <t>2026-10-20</t>
        </is>
      </c>
      <c r="C86" s="4" t="n">
        <v>4</v>
      </c>
      <c r="D86" s="4" t="inlineStr">
        <is>
          <t>Apex Refining</t>
        </is>
      </c>
      <c r="E86" s="4" t="inlineStr">
        <is>
          <t>Email clicked</t>
        </is>
      </c>
      <c r="F86" s="4" t="inlineStr">
        <is>
          <t>Blank: rejected D3</t>
        </is>
      </c>
      <c r="G86" s="4" t="inlineStr">
        <is>
          <t>Rejected</t>
        </is>
      </c>
      <c r="H86" s="4" t="inlineStr">
        <is>
          <t>D3</t>
        </is>
      </c>
      <c r="I86" s="4" t="inlineStr">
        <is>
          <t>No event date</t>
        </is>
      </c>
      <c r="J86" s="4" t="inlineStr">
        <is>
          <t>Kai Ong</t>
        </is>
      </c>
      <c r="K86" s="4" t="inlineStr"/>
      <c r="L86" s="4" t="inlineStr"/>
      <c r="M86" s="5" t="inlineStr">
        <is>
          <t>Not run</t>
        </is>
      </c>
      <c r="N86" s="5" t="inlineStr"/>
    </row>
    <row r="87">
      <c r="A87" s="4" t="inlineStr">
        <is>
          <t>G04</t>
        </is>
      </c>
      <c r="B87" s="4" t="inlineStr">
        <is>
          <t>2026-10-20</t>
        </is>
      </c>
      <c r="C87" s="4" t="n">
        <v>5</v>
      </c>
      <c r="D87" s="4" t="inlineStr">
        <is>
          <t>Apex Refining</t>
        </is>
      </c>
      <c r="E87" s="4" t="inlineStr">
        <is>
          <t>Webinar registered</t>
        </is>
      </c>
      <c r="F87" s="4" t="inlineStr">
        <is>
          <t>DD/MM/YYYY: rejected D3</t>
        </is>
      </c>
      <c r="G87" s="4" t="inlineStr">
        <is>
          <t>Rejected</t>
        </is>
      </c>
      <c r="H87" s="4" t="inlineStr">
        <is>
          <t>D3</t>
        </is>
      </c>
      <c r="I87" s="4" t="inlineStr">
        <is>
          <t>Event date "15/10/2026" isn't YYYY-MM-DD</t>
        </is>
      </c>
      <c r="J87" s="4" t="inlineStr">
        <is>
          <t>Kai Ong</t>
        </is>
      </c>
      <c r="K87" s="4" t="inlineStr"/>
      <c r="L87" s="4" t="inlineStr"/>
      <c r="M87" s="5" t="inlineStr">
        <is>
          <t>Not run</t>
        </is>
      </c>
      <c r="N87" s="5" t="inlineStr"/>
    </row>
    <row r="88">
      <c r="A88" s="4" t="inlineStr">
        <is>
          <t>G04</t>
        </is>
      </c>
      <c r="B88" s="4" t="inlineStr">
        <is>
          <t>2026-10-20</t>
        </is>
      </c>
      <c r="C88" s="4" t="n">
        <v>6</v>
      </c>
      <c r="D88" s="4" t="inlineStr">
        <is>
          <t>Apex Refining</t>
        </is>
      </c>
      <c r="E88" s="4" t="inlineStr">
        <is>
          <t>Inquiry or RFQ</t>
        </is>
      </c>
      <c r="F88" s="4" t="inlineStr">
        <is>
          <t>YYYY/MM/DD: rejected D3</t>
        </is>
      </c>
      <c r="G88" s="4" t="inlineStr">
        <is>
          <t>Rejected</t>
        </is>
      </c>
      <c r="H88" s="4" t="inlineStr">
        <is>
          <t>D3</t>
        </is>
      </c>
      <c r="I88" s="4" t="inlineStr">
        <is>
          <t>Event date "2026/10/15" isn't YYYY-MM-DD</t>
        </is>
      </c>
      <c r="J88" s="4" t="inlineStr">
        <is>
          <t>Kai Ong</t>
        </is>
      </c>
      <c r="K88" s="4" t="inlineStr"/>
      <c r="L88" s="4" t="inlineStr"/>
      <c r="M88" s="5" t="inlineStr">
        <is>
          <t>Not run</t>
        </is>
      </c>
      <c r="N88" s="5" t="inlineStr"/>
    </row>
    <row r="89">
      <c r="A89" s="4" t="inlineStr">
        <is>
          <t>G04</t>
        </is>
      </c>
      <c r="B89" s="4" t="inlineStr">
        <is>
          <t>2026-10-20</t>
        </is>
      </c>
      <c r="C89" s="4" t="n">
        <v>7</v>
      </c>
      <c r="D89" s="4" t="inlineStr">
        <is>
          <t>Apex Refining</t>
        </is>
      </c>
      <c r="E89" s="4" t="inlineStr">
        <is>
          <t>Leadership change</t>
        </is>
      </c>
      <c r="F89" s="4" t="inlineStr">
        <is>
          <t>Written in words: rejected D3</t>
        </is>
      </c>
      <c r="G89" s="4" t="inlineStr">
        <is>
          <t>Rejected</t>
        </is>
      </c>
      <c r="H89" s="4" t="inlineStr">
        <is>
          <t>D3</t>
        </is>
      </c>
      <c r="I89" s="4" t="inlineStr">
        <is>
          <t>Event date "Oct 15, 2026" isn't YYYY-MM-DD</t>
        </is>
      </c>
      <c r="J89" s="4" t="inlineStr">
        <is>
          <t>Kai Ong</t>
        </is>
      </c>
      <c r="K89" s="4" t="inlineStr"/>
      <c r="L89" s="4" t="inlineStr"/>
      <c r="M89" s="5" t="inlineStr">
        <is>
          <t>Not run</t>
        </is>
      </c>
      <c r="N89" s="5" t="inlineStr"/>
    </row>
    <row r="90">
      <c r="A90" s="4" t="inlineStr">
        <is>
          <t>G04</t>
        </is>
      </c>
      <c r="B90" s="4" t="inlineStr">
        <is>
          <t>2026-10-20</t>
        </is>
      </c>
      <c r="C90" s="4" t="n">
        <v>8</v>
      </c>
      <c r="D90" s="4" t="inlineStr">
        <is>
          <t>Apex Refining</t>
        </is>
      </c>
      <c r="E90" s="4" t="inlineStr">
        <is>
          <t>Capital project</t>
        </is>
      </c>
      <c r="F90" s="4" t="inlineStr">
        <is>
          <t>30 February: rejected D3</t>
        </is>
      </c>
      <c r="G90" s="4" t="inlineStr">
        <is>
          <t>Rejected</t>
        </is>
      </c>
      <c r="H90" s="4" t="inlineStr">
        <is>
          <t>D3</t>
        </is>
      </c>
      <c r="I90" s="4" t="inlineStr">
        <is>
          <t>Event date "2026-02-30" isn't YYYY-MM-DD</t>
        </is>
      </c>
      <c r="J90" s="4" t="inlineStr">
        <is>
          <t>Kai Ong</t>
        </is>
      </c>
      <c r="K90" s="4" t="inlineStr"/>
      <c r="L90" s="4" t="inlineStr"/>
      <c r="M90" s="5" t="inlineStr">
        <is>
          <t>Not run</t>
        </is>
      </c>
      <c r="N90" s="5" t="inlineStr"/>
    </row>
    <row r="91">
      <c r="A91" s="4" t="inlineStr">
        <is>
          <t>G04</t>
        </is>
      </c>
      <c r="B91" s="4" t="inlineStr">
        <is>
          <t>2026-10-20</t>
        </is>
      </c>
      <c r="C91" s="4" t="n">
        <v>9</v>
      </c>
      <c r="D91" s="4" t="inlineStr">
        <is>
          <t>Apex Refining</t>
        </is>
      </c>
      <c r="E91" s="4" t="inlineStr">
        <is>
          <t>Service contract renewal</t>
        </is>
      </c>
      <c r="F91" s="4" t="inlineStr">
        <is>
          <t>After the scoring date: rejected D3</t>
        </is>
      </c>
      <c r="G91" s="4" t="inlineStr">
        <is>
          <t>Rejected</t>
        </is>
      </c>
      <c r="H91" s="4" t="inlineStr">
        <is>
          <t>D3</t>
        </is>
      </c>
      <c r="I91" s="4" t="inlineStr">
        <is>
          <t>Event date 2026-10-21 is after the scoring date 2026-10-20</t>
        </is>
      </c>
      <c r="J91" s="4" t="inlineStr">
        <is>
          <t>Kai Ong</t>
        </is>
      </c>
      <c r="K91" s="4" t="n">
        <v>-1</v>
      </c>
      <c r="L91" s="4" t="inlineStr"/>
      <c r="M91" s="5" t="inlineStr">
        <is>
          <t>Not run</t>
        </is>
      </c>
      <c r="N91" s="5" t="inlineStr"/>
    </row>
    <row r="92">
      <c r="A92" s="6" t="inlineStr">
        <is>
          <t>G05</t>
        </is>
      </c>
      <c r="B92" s="6" t="inlineStr">
        <is>
          <t>2026-10-20</t>
        </is>
      </c>
      <c r="C92" s="6" t="n">
        <v>2</v>
      </c>
      <c r="D92" s="6" t="inlineStr">
        <is>
          <t>Apex Refining</t>
        </is>
      </c>
      <c r="E92" s="6" t="inlineStr">
        <is>
          <t>Inquiry or RFQ</t>
        </is>
      </c>
      <c r="F92" s="6" t="inlineStr">
        <is>
          <t>Lower case: accepted</t>
        </is>
      </c>
      <c r="G92" s="6" t="inlineStr">
        <is>
          <t>Qualified</t>
        </is>
      </c>
      <c r="H92" s="6" t="inlineStr">
        <is>
          <t>Y2</t>
        </is>
      </c>
      <c r="I92" s="6" t="inlineStr">
        <is>
          <t>Named in the file</t>
        </is>
      </c>
      <c r="J92" s="6" t="inlineStr">
        <is>
          <t>Kai Ong</t>
        </is>
      </c>
      <c r="K92" s="6" t="n">
        <v>5</v>
      </c>
      <c r="L92" s="6" t="n">
        <v>100</v>
      </c>
      <c r="M92" s="7" t="inlineStr">
        <is>
          <t>Not run</t>
        </is>
      </c>
      <c r="N92" s="7" t="inlineStr"/>
    </row>
    <row r="93">
      <c r="A93" s="6" t="inlineStr">
        <is>
          <t>G05</t>
        </is>
      </c>
      <c r="B93" s="6" t="inlineStr">
        <is>
          <t>2026-10-20</t>
        </is>
      </c>
      <c r="C93" s="6" t="n">
        <v>3</v>
      </c>
      <c r="D93" s="6" t="inlineStr">
        <is>
          <t>Apex Refining</t>
        </is>
      </c>
      <c r="E93" s="6" t="inlineStr">
        <is>
          <t>Webinar attended</t>
        </is>
      </c>
      <c r="F93" s="6" t="inlineStr">
        <is>
          <t>Capitals: accepted</t>
        </is>
      </c>
      <c r="G93" s="6" t="inlineStr">
        <is>
          <t>Qualified</t>
        </is>
      </c>
      <c r="H93" s="6" t="inlineStr">
        <is>
          <t>C1w</t>
        </is>
      </c>
      <c r="I93" s="6" t="inlineStr">
        <is>
          <t>Named in the file</t>
        </is>
      </c>
      <c r="J93" s="6" t="inlineStr">
        <is>
          <t>Kai Ong</t>
        </is>
      </c>
      <c r="K93" s="6" t="n">
        <v>6</v>
      </c>
      <c r="L93" s="6" t="n">
        <v>60</v>
      </c>
      <c r="M93" s="7" t="inlineStr">
        <is>
          <t>Not run</t>
        </is>
      </c>
      <c r="N93" s="7" t="inlineStr"/>
    </row>
    <row r="94">
      <c r="A94" s="6" t="inlineStr">
        <is>
          <t>G05</t>
        </is>
      </c>
      <c r="B94" s="6" t="inlineStr">
        <is>
          <t>2026-10-20</t>
        </is>
      </c>
      <c r="C94" s="6" t="n">
        <v>4</v>
      </c>
      <c r="D94" s="6" t="inlineStr">
        <is>
          <t>Apex Refining</t>
        </is>
      </c>
      <c r="E94" s="6" t="inlineStr">
        <is>
          <t>Webinar attend</t>
        </is>
      </c>
      <c r="F94" s="6" t="inlineStr">
        <is>
          <t>Misspelt: rejected D3</t>
        </is>
      </c>
      <c r="G94" s="6" t="inlineStr">
        <is>
          <t>Rejected</t>
        </is>
      </c>
      <c r="H94" s="6" t="inlineStr">
        <is>
          <t>D3</t>
        </is>
      </c>
      <c r="I94" s="6" t="inlineStr">
        <is>
          <t>Signal type "Webinar attend" isn't on the list</t>
        </is>
      </c>
      <c r="J94" s="6" t="inlineStr">
        <is>
          <t>Kai Ong</t>
        </is>
      </c>
      <c r="K94" s="6" t="n">
        <v>7</v>
      </c>
      <c r="L94" s="6" t="inlineStr"/>
      <c r="M94" s="7" t="inlineStr">
        <is>
          <t>Not run</t>
        </is>
      </c>
      <c r="N94" s="7" t="inlineStr"/>
    </row>
    <row r="95">
      <c r="A95" s="6" t="inlineStr">
        <is>
          <t>G05</t>
        </is>
      </c>
      <c r="B95" s="6" t="inlineStr">
        <is>
          <t>2026-10-20</t>
        </is>
      </c>
      <c r="C95" s="6" t="n">
        <v>5</v>
      </c>
      <c r="D95" s="6" t="inlineStr">
        <is>
          <t>Apex Refining</t>
        </is>
      </c>
      <c r="E95" s="6" t="inlineStr">
        <is>
          <t>Trade show visit</t>
        </is>
      </c>
      <c r="F95" s="6" t="inlineStr">
        <is>
          <t>Not on the list: rejected D3</t>
        </is>
      </c>
      <c r="G95" s="6" t="inlineStr">
        <is>
          <t>Rejected</t>
        </is>
      </c>
      <c r="H95" s="6" t="inlineStr">
        <is>
          <t>D3</t>
        </is>
      </c>
      <c r="I95" s="6" t="inlineStr">
        <is>
          <t>Signal type "Trade show visit" isn't on the list</t>
        </is>
      </c>
      <c r="J95" s="6" t="inlineStr">
        <is>
          <t>Kai Ong</t>
        </is>
      </c>
      <c r="K95" s="6" t="n">
        <v>8</v>
      </c>
      <c r="L95" s="6" t="inlineStr"/>
      <c r="M95" s="7" t="inlineStr">
        <is>
          <t>Not run</t>
        </is>
      </c>
      <c r="N95" s="7" t="inlineStr"/>
    </row>
    <row r="96">
      <c r="A96" s="6" t="inlineStr">
        <is>
          <t>G05</t>
        </is>
      </c>
      <c r="B96" s="6" t="inlineStr">
        <is>
          <t>2026-10-20</t>
        </is>
      </c>
      <c r="C96" s="6" t="n">
        <v>6</v>
      </c>
      <c r="D96" s="6" t="inlineStr">
        <is>
          <t>Apex Refining</t>
        </is>
      </c>
      <c r="E96" s="6" t="inlineStr">
        <is>
          <t>RFQ</t>
        </is>
      </c>
      <c r="F96" s="6" t="inlineStr">
        <is>
          <t>Short form "RFQ": rejected D3</t>
        </is>
      </c>
      <c r="G96" s="6" t="inlineStr">
        <is>
          <t>Rejected</t>
        </is>
      </c>
      <c r="H96" s="6" t="inlineStr">
        <is>
          <t>D3</t>
        </is>
      </c>
      <c r="I96" s="6" t="inlineStr">
        <is>
          <t>Signal type "RFQ" isn't on the list</t>
        </is>
      </c>
      <c r="J96" s="6" t="inlineStr">
        <is>
          <t>Kai Ong</t>
        </is>
      </c>
      <c r="K96" s="6" t="n">
        <v>9</v>
      </c>
      <c r="L96" s="6" t="inlineStr"/>
      <c r="M96" s="7" t="inlineStr">
        <is>
          <t>Not run</t>
        </is>
      </c>
      <c r="N96" s="7" t="inlineStr"/>
    </row>
    <row r="97">
      <c r="A97" s="6" t="inlineStr">
        <is>
          <t>G05</t>
        </is>
      </c>
      <c r="B97" s="6" t="inlineStr">
        <is>
          <t>2026-10-20</t>
        </is>
      </c>
      <c r="C97" s="6" t="n">
        <v>7</v>
      </c>
      <c r="D97" s="6" t="inlineStr">
        <is>
          <t>Apex Refining</t>
        </is>
      </c>
      <c r="E97" s="6" t="inlineStr">
        <is>
          <t>(blank)</t>
        </is>
      </c>
      <c r="F97" s="6" t="inlineStr">
        <is>
          <t>Blank: rejected D3</t>
        </is>
      </c>
      <c r="G97" s="6" t="inlineStr">
        <is>
          <t>Rejected</t>
        </is>
      </c>
      <c r="H97" s="6" t="inlineStr">
        <is>
          <t>D3</t>
        </is>
      </c>
      <c r="I97" s="6" t="inlineStr">
        <is>
          <t>Signal type "" isn't on the list</t>
        </is>
      </c>
      <c r="J97" s="6" t="inlineStr">
        <is>
          <t>Kai Ong</t>
        </is>
      </c>
      <c r="K97" s="6" t="n">
        <v>10</v>
      </c>
      <c r="L97" s="6" t="inlineStr"/>
      <c r="M97" s="7" t="inlineStr">
        <is>
          <t>Not run</t>
        </is>
      </c>
      <c r="N97" s="7" t="inlineStr"/>
    </row>
    <row r="98">
      <c r="A98" s="4" t="inlineStr">
        <is>
          <t>G06</t>
        </is>
      </c>
      <c r="B98" s="4" t="inlineStr">
        <is>
          <t>2026-10-20</t>
        </is>
      </c>
      <c r="C98" s="4" t="n">
        <v>2</v>
      </c>
      <c r="D98" s="4" t="inlineStr">
        <is>
          <t>Apex Refining</t>
        </is>
      </c>
      <c r="E98" s="4" t="inlineStr">
        <is>
          <t>Webinar attended</t>
        </is>
      </c>
      <c r="F98" s="4" t="inlineStr">
        <is>
          <t>First: qualified</t>
        </is>
      </c>
      <c r="G98" s="4" t="inlineStr">
        <is>
          <t>Qualified</t>
        </is>
      </c>
      <c r="H98" s="4" t="inlineStr">
        <is>
          <t>C1w</t>
        </is>
      </c>
      <c r="I98" s="4" t="inlineStr">
        <is>
          <t>Named in the file</t>
        </is>
      </c>
      <c r="J98" s="4" t="inlineStr">
        <is>
          <t>Kai Ong</t>
        </is>
      </c>
      <c r="K98" s="4" t="n">
        <v>10</v>
      </c>
      <c r="L98" s="4" t="n">
        <v>60</v>
      </c>
      <c r="M98" s="5" t="inlineStr">
        <is>
          <t>Not run</t>
        </is>
      </c>
      <c r="N98" s="5" t="inlineStr"/>
    </row>
    <row r="99">
      <c r="A99" s="4" t="inlineStr">
        <is>
          <t>G06</t>
        </is>
      </c>
      <c r="B99" s="4" t="inlineStr">
        <is>
          <t>2026-10-20</t>
        </is>
      </c>
      <c r="C99" s="4" t="n">
        <v>3</v>
      </c>
      <c r="D99" s="4" t="inlineStr">
        <is>
          <t>Apex Refining</t>
        </is>
      </c>
      <c r="E99" s="4" t="inlineStr">
        <is>
          <t>Webinar attended</t>
        </is>
      </c>
      <c r="F99" s="4" t="inlineStr">
        <is>
          <t>Same person, type and date: rejected D5</t>
        </is>
      </c>
      <c r="G99" s="4" t="inlineStr">
        <is>
          <t>Rejected</t>
        </is>
      </c>
      <c r="H99" s="4" t="inlineStr">
        <is>
          <t>D5</t>
        </is>
      </c>
      <c r="I99" s="4" t="inlineStr">
        <is>
          <t>Same event already recorded (SIG-01)</t>
        </is>
      </c>
      <c r="J99" s="4" t="inlineStr">
        <is>
          <t>Kai Ong</t>
        </is>
      </c>
      <c r="K99" s="4" t="n">
        <v>10</v>
      </c>
      <c r="L99" s="4" t="inlineStr"/>
      <c r="M99" s="5" t="inlineStr">
        <is>
          <t>Not run</t>
        </is>
      </c>
      <c r="N99" s="5" t="inlineStr"/>
    </row>
    <row r="100">
      <c r="A100" s="4" t="inlineStr">
        <is>
          <t>G06</t>
        </is>
      </c>
      <c r="B100" s="4" t="inlineStr">
        <is>
          <t>2026-10-20</t>
        </is>
      </c>
      <c r="C100" s="4" t="n">
        <v>4</v>
      </c>
      <c r="D100" s="4" t="inlineStr">
        <is>
          <t>Apex Refining</t>
        </is>
      </c>
      <c r="E100" s="4" t="inlineStr">
        <is>
          <t>Webinar attended</t>
        </is>
      </c>
      <c r="F100" s="4" t="inlineStr">
        <is>
          <t>Same again, written differently: rejected D5</t>
        </is>
      </c>
      <c r="G100" s="4" t="inlineStr">
        <is>
          <t>Rejected</t>
        </is>
      </c>
      <c r="H100" s="4" t="inlineStr">
        <is>
          <t>D5</t>
        </is>
      </c>
      <c r="I100" s="4" t="inlineStr">
        <is>
          <t>Same event already recorded (SIG-01)</t>
        </is>
      </c>
      <c r="J100" s="4" t="inlineStr">
        <is>
          <t>Kai Ong</t>
        </is>
      </c>
      <c r="K100" s="4" t="n">
        <v>10</v>
      </c>
      <c r="L100" s="4" t="inlineStr"/>
      <c r="M100" s="5" t="inlineStr">
        <is>
          <t>Not run</t>
        </is>
      </c>
      <c r="N100" s="5" t="inlineStr"/>
    </row>
    <row r="101">
      <c r="A101" s="4" t="inlineStr">
        <is>
          <t>G06</t>
        </is>
      </c>
      <c r="B101" s="4" t="inlineStr">
        <is>
          <t>2026-10-20</t>
        </is>
      </c>
      <c r="C101" s="4" t="n">
        <v>5</v>
      </c>
      <c r="D101" s="4" t="inlineStr">
        <is>
          <t>Apex Refining</t>
        </is>
      </c>
      <c r="E101" s="4" t="inlineStr">
        <is>
          <t>Webinar attended</t>
        </is>
      </c>
      <c r="F101" s="4" t="inlineStr">
        <is>
          <t>Next day: a separate event, qualified</t>
        </is>
      </c>
      <c r="G101" s="4" t="inlineStr">
        <is>
          <t>Qualified</t>
        </is>
      </c>
      <c r="H101" s="4" t="inlineStr">
        <is>
          <t>C1w</t>
        </is>
      </c>
      <c r="I101" s="4" t="inlineStr">
        <is>
          <t>Named in the file</t>
        </is>
      </c>
      <c r="J101" s="4" t="inlineStr">
        <is>
          <t>Kai Ong</t>
        </is>
      </c>
      <c r="K101" s="4" t="n">
        <v>11</v>
      </c>
      <c r="L101" s="4" t="n">
        <v>60</v>
      </c>
      <c r="M101" s="5" t="inlineStr">
        <is>
          <t>Not run</t>
        </is>
      </c>
      <c r="N101" s="5" t="inlineStr"/>
    </row>
    <row r="102">
      <c r="A102" s="4" t="inlineStr">
        <is>
          <t>G06</t>
        </is>
      </c>
      <c r="B102" s="4" t="inlineStr">
        <is>
          <t>2026-10-20</t>
        </is>
      </c>
      <c r="C102" s="4" t="n">
        <v>6</v>
      </c>
      <c r="D102" s="4" t="inlineStr">
        <is>
          <t>Apex Refining</t>
        </is>
      </c>
      <c r="E102" s="4" t="inlineStr">
        <is>
          <t>Webinar attended</t>
        </is>
      </c>
      <c r="F102" s="4" t="inlineStr">
        <is>
          <t>Same day, other person: qualified</t>
        </is>
      </c>
      <c r="G102" s="4" t="inlineStr">
        <is>
          <t>Qualified</t>
        </is>
      </c>
      <c r="H102" s="4" t="inlineStr">
        <is>
          <t>C1w</t>
        </is>
      </c>
      <c r="I102" s="4" t="inlineStr">
        <is>
          <t>Named in the file</t>
        </is>
      </c>
      <c r="J102" s="4" t="inlineStr">
        <is>
          <t>Lena Koh</t>
        </is>
      </c>
      <c r="K102" s="4" t="n">
        <v>10</v>
      </c>
      <c r="L102" s="4" t="n">
        <v>60</v>
      </c>
      <c r="M102" s="5" t="inlineStr">
        <is>
          <t>Not run</t>
        </is>
      </c>
      <c r="N102" s="5" t="inlineStr"/>
    </row>
    <row r="103">
      <c r="A103" s="4" t="inlineStr">
        <is>
          <t>G06</t>
        </is>
      </c>
      <c r="B103" s="4" t="inlineStr">
        <is>
          <t>2026-10-20</t>
        </is>
      </c>
      <c r="C103" s="4" t="n">
        <v>7</v>
      </c>
      <c r="D103" s="4" t="inlineStr">
        <is>
          <t>Bayfront Refining</t>
        </is>
      </c>
      <c r="E103" s="4" t="inlineStr">
        <is>
          <t>Content download</t>
        </is>
      </c>
      <c r="F103" s="4" t="inlineStr">
        <is>
          <t>No person named: auto-assigned</t>
        </is>
      </c>
      <c r="G103" s="4" t="inlineStr">
        <is>
          <t>Qualified</t>
        </is>
      </c>
      <c r="H103" s="4" t="inlineStr">
        <is>
          <t>C1w</t>
        </is>
      </c>
      <c r="I103" s="4" t="inlineStr">
        <is>
          <t>Auto-assigned to the primary-persona contact</t>
        </is>
      </c>
      <c r="J103" s="4" t="inlineStr">
        <is>
          <t>Mia Tan</t>
        </is>
      </c>
      <c r="K103" s="4" t="n">
        <v>5</v>
      </c>
      <c r="L103" s="4" t="n">
        <v>60</v>
      </c>
      <c r="M103" s="5" t="inlineStr">
        <is>
          <t>Not run</t>
        </is>
      </c>
      <c r="N103" s="5" t="inlineStr"/>
    </row>
    <row r="104">
      <c r="A104" s="4" t="inlineStr">
        <is>
          <t>G06</t>
        </is>
      </c>
      <c r="B104" s="4" t="inlineStr">
        <is>
          <t>2026-10-20</t>
        </is>
      </c>
      <c r="C104" s="4" t="n">
        <v>8</v>
      </c>
      <c r="D104" s="4" t="inlineStr">
        <is>
          <t>Bayfront Refining</t>
        </is>
      </c>
      <c r="E104" s="4" t="inlineStr">
        <is>
          <t>Content download</t>
        </is>
      </c>
      <c r="F104" s="4" t="inlineStr">
        <is>
          <t>Same row again: auto-assigned to the same person, rejected D5</t>
        </is>
      </c>
      <c r="G104" s="4" t="inlineStr">
        <is>
          <t>Rejected</t>
        </is>
      </c>
      <c r="H104" s="4" t="inlineStr">
        <is>
          <t>D5</t>
        </is>
      </c>
      <c r="I104" s="4" t="inlineStr">
        <is>
          <t>Same event already recorded (SIG-06)</t>
        </is>
      </c>
      <c r="J104" s="4" t="inlineStr">
        <is>
          <t>Mia Tan</t>
        </is>
      </c>
      <c r="K104" s="4" t="n">
        <v>5</v>
      </c>
      <c r="L104" s="4" t="inlineStr"/>
      <c r="M104" s="5" t="inlineStr">
        <is>
          <t>Not run</t>
        </is>
      </c>
      <c r="N104" s="5" t="inlineStr"/>
    </row>
    <row r="105">
      <c r="A105" s="6" t="inlineStr">
        <is>
          <t>G07</t>
        </is>
      </c>
      <c r="B105" s="6" t="inlineStr">
        <is>
          <t>2026-10-20</t>
        </is>
      </c>
      <c r="C105" s="6" t="n">
        <v>2</v>
      </c>
      <c r="D105" s="6" t="inlineStr">
        <is>
          <t>Apex Refining</t>
        </is>
      </c>
      <c r="E105" s="6" t="inlineStr">
        <is>
          <t>Inquiry or RFQ</t>
        </is>
      </c>
      <c r="F105" s="6" t="inlineStr">
        <is>
          <t>Inquiry or RFQ, 89 days: last day it counts, qualified with a small weight</t>
        </is>
      </c>
      <c r="G105" s="6" t="inlineStr">
        <is>
          <t>Qualified</t>
        </is>
      </c>
      <c r="H105" s="6" t="inlineStr">
        <is>
          <t>Y2</t>
        </is>
      </c>
      <c r="I105" s="6" t="inlineStr">
        <is>
          <t>Named in the file</t>
        </is>
      </c>
      <c r="J105" s="6" t="inlineStr">
        <is>
          <t>Kai Ong</t>
        </is>
      </c>
      <c r="K105" s="6" t="n">
        <v>89</v>
      </c>
      <c r="L105" s="6" t="n">
        <v>1.7</v>
      </c>
      <c r="M105" s="7" t="inlineStr">
        <is>
          <t>Not run</t>
        </is>
      </c>
      <c r="N105" s="7" t="inlineStr"/>
    </row>
    <row r="106">
      <c r="A106" s="6" t="inlineStr">
        <is>
          <t>G07</t>
        </is>
      </c>
      <c r="B106" s="6" t="inlineStr">
        <is>
          <t>2026-10-20</t>
        </is>
      </c>
      <c r="C106" s="6" t="n">
        <v>3</v>
      </c>
      <c r="D106" s="6" t="inlineStr">
        <is>
          <t>Bayfront Refining</t>
        </is>
      </c>
      <c r="E106" s="6" t="inlineStr">
        <is>
          <t>Inquiry or RFQ</t>
        </is>
      </c>
      <c r="F106" s="6" t="inlineStr">
        <is>
          <t>Inquiry or RFQ, 90 days: stale, rejected D2</t>
        </is>
      </c>
      <c r="G106" s="6" t="inlineStr">
        <is>
          <t>Rejected</t>
        </is>
      </c>
      <c r="H106" s="6" t="inlineStr">
        <is>
          <t>D2</t>
        </is>
      </c>
      <c r="I106" s="6" t="inlineStr">
        <is>
          <t>90 days old; this signal type counts for 90 days</t>
        </is>
      </c>
      <c r="J106" s="6" t="inlineStr">
        <is>
          <t>Mia Tan</t>
        </is>
      </c>
      <c r="K106" s="6" t="n">
        <v>90</v>
      </c>
      <c r="L106" s="6" t="inlineStr"/>
      <c r="M106" s="7" t="inlineStr">
        <is>
          <t>Not run</t>
        </is>
      </c>
      <c r="N106" s="7" t="inlineStr"/>
    </row>
    <row r="107">
      <c r="A107" s="6" t="inlineStr">
        <is>
          <t>G07</t>
        </is>
      </c>
      <c r="B107" s="6" t="inlineStr">
        <is>
          <t>2026-10-20</t>
        </is>
      </c>
      <c r="C107" s="6" t="n">
        <v>4</v>
      </c>
      <c r="D107" s="6" t="inlineStr">
        <is>
          <t>Apex Refining</t>
        </is>
      </c>
      <c r="E107" s="6" t="inlineStr">
        <is>
          <t>Installed system near end of support</t>
        </is>
      </c>
      <c r="F107" s="6" t="inlineStr">
        <is>
          <t>Installed system near end of support, 729 days: last day it counts, qualified with a small weight</t>
        </is>
      </c>
      <c r="G107" s="6" t="inlineStr">
        <is>
          <t>Qualified</t>
        </is>
      </c>
      <c r="H107" s="6" t="inlineStr">
        <is>
          <t>Y1</t>
        </is>
      </c>
      <c r="I107" s="6" t="inlineStr">
        <is>
          <t>Named in the file</t>
        </is>
      </c>
      <c r="J107" s="6" t="inlineStr">
        <is>
          <t>Kai Ong</t>
        </is>
      </c>
      <c r="K107" s="6" t="n">
        <v>729</v>
      </c>
      <c r="L107" s="6" t="n">
        <v>0.3</v>
      </c>
      <c r="M107" s="7" t="inlineStr">
        <is>
          <t>Not run</t>
        </is>
      </c>
      <c r="N107" s="7" t="inlineStr"/>
    </row>
    <row r="108">
      <c r="A108" s="6" t="inlineStr">
        <is>
          <t>G07</t>
        </is>
      </c>
      <c r="B108" s="6" t="inlineStr">
        <is>
          <t>2026-10-20</t>
        </is>
      </c>
      <c r="C108" s="6" t="n">
        <v>5</v>
      </c>
      <c r="D108" s="6" t="inlineStr">
        <is>
          <t>Bayfront Refining</t>
        </is>
      </c>
      <c r="E108" s="6" t="inlineStr">
        <is>
          <t>Installed system near end of support</t>
        </is>
      </c>
      <c r="F108" s="6" t="inlineStr">
        <is>
          <t>Installed system near end of support, 730 days: stale, rejected D2</t>
        </is>
      </c>
      <c r="G108" s="6" t="inlineStr">
        <is>
          <t>Rejected</t>
        </is>
      </c>
      <c r="H108" s="6" t="inlineStr">
        <is>
          <t>D2</t>
        </is>
      </c>
      <c r="I108" s="6" t="inlineStr">
        <is>
          <t>730 days old; this signal type counts for 730 days</t>
        </is>
      </c>
      <c r="J108" s="6" t="inlineStr">
        <is>
          <t>Mia Tan</t>
        </is>
      </c>
      <c r="K108" s="6" t="n">
        <v>730</v>
      </c>
      <c r="L108" s="6" t="inlineStr"/>
      <c r="M108" s="7" t="inlineStr">
        <is>
          <t>Not run</t>
        </is>
      </c>
      <c r="N108" s="7" t="inlineStr"/>
    </row>
    <row r="109">
      <c r="A109" s="6" t="inlineStr">
        <is>
          <t>G07</t>
        </is>
      </c>
      <c r="B109" s="6" t="inlineStr">
        <is>
          <t>2026-10-20</t>
        </is>
      </c>
      <c r="C109" s="6" t="n">
        <v>6</v>
      </c>
      <c r="D109" s="6" t="inlineStr">
        <is>
          <t>Apex Refining</t>
        </is>
      </c>
      <c r="E109" s="6" t="inlineStr">
        <is>
          <t>Service contract renewal</t>
        </is>
      </c>
      <c r="F109" s="6" t="inlineStr">
        <is>
          <t>Service contract renewal, 179 days: last day it counts, qualified with a small weight</t>
        </is>
      </c>
      <c r="G109" s="6" t="inlineStr">
        <is>
          <t>Qualified</t>
        </is>
      </c>
      <c r="H109" s="6" t="inlineStr">
        <is>
          <t>Y1</t>
        </is>
      </c>
      <c r="I109" s="6" t="inlineStr">
        <is>
          <t>Named in the file</t>
        </is>
      </c>
      <c r="J109" s="6" t="inlineStr">
        <is>
          <t>Kai Ong</t>
        </is>
      </c>
      <c r="K109" s="6" t="n">
        <v>179</v>
      </c>
      <c r="L109" s="6" t="n">
        <v>0.7</v>
      </c>
      <c r="M109" s="7" t="inlineStr">
        <is>
          <t>Not run</t>
        </is>
      </c>
      <c r="N109" s="7" t="inlineStr"/>
    </row>
    <row r="110">
      <c r="A110" s="6" t="inlineStr">
        <is>
          <t>G07</t>
        </is>
      </c>
      <c r="B110" s="6" t="inlineStr">
        <is>
          <t>2026-10-20</t>
        </is>
      </c>
      <c r="C110" s="6" t="n">
        <v>7</v>
      </c>
      <c r="D110" s="6" t="inlineStr">
        <is>
          <t>Bayfront Refining</t>
        </is>
      </c>
      <c r="E110" s="6" t="inlineStr">
        <is>
          <t>Service contract renewal</t>
        </is>
      </c>
      <c r="F110" s="6" t="inlineStr">
        <is>
          <t>Service contract renewal, 180 days: stale, rejected D2</t>
        </is>
      </c>
      <c r="G110" s="6" t="inlineStr">
        <is>
          <t>Rejected</t>
        </is>
      </c>
      <c r="H110" s="6" t="inlineStr">
        <is>
          <t>D2</t>
        </is>
      </c>
      <c r="I110" s="6" t="inlineStr">
        <is>
          <t>180 days old; this signal type counts for 180 days</t>
        </is>
      </c>
      <c r="J110" s="6" t="inlineStr">
        <is>
          <t>Mia Tan</t>
        </is>
      </c>
      <c r="K110" s="6" t="n">
        <v>180</v>
      </c>
      <c r="L110" s="6" t="inlineStr"/>
      <c r="M110" s="7" t="inlineStr">
        <is>
          <t>Not run</t>
        </is>
      </c>
      <c r="N110" s="7" t="inlineStr"/>
    </row>
    <row r="111">
      <c r="A111" s="6" t="inlineStr">
        <is>
          <t>G07</t>
        </is>
      </c>
      <c r="B111" s="6" t="inlineStr">
        <is>
          <t>2026-10-20</t>
        </is>
      </c>
      <c r="C111" s="6" t="n">
        <v>8</v>
      </c>
      <c r="D111" s="6" t="inlineStr">
        <is>
          <t>Apex Refining</t>
        </is>
      </c>
      <c r="E111" s="6" t="inlineStr">
        <is>
          <t>Capital project</t>
        </is>
      </c>
      <c r="F111" s="6" t="inlineStr">
        <is>
          <t>Capital project, 364 days: last day it counts, qualified with a small weight</t>
        </is>
      </c>
      <c r="G111" s="6" t="inlineStr">
        <is>
          <t>Qualified</t>
        </is>
      </c>
      <c r="H111" s="6" t="inlineStr">
        <is>
          <t>Y4</t>
        </is>
      </c>
      <c r="I111" s="6" t="inlineStr">
        <is>
          <t>Named in the file</t>
        </is>
      </c>
      <c r="J111" s="6" t="inlineStr">
        <is>
          <t>Kai Ong</t>
        </is>
      </c>
      <c r="K111" s="6" t="n">
        <v>364</v>
      </c>
      <c r="L111" s="6" t="n">
        <v>0.3</v>
      </c>
      <c r="M111" s="7" t="inlineStr">
        <is>
          <t>Not run</t>
        </is>
      </c>
      <c r="N111" s="7" t="inlineStr"/>
    </row>
    <row r="112">
      <c r="A112" s="6" t="inlineStr">
        <is>
          <t>G07</t>
        </is>
      </c>
      <c r="B112" s="6" t="inlineStr">
        <is>
          <t>2026-10-20</t>
        </is>
      </c>
      <c r="C112" s="6" t="n">
        <v>9</v>
      </c>
      <c r="D112" s="6" t="inlineStr">
        <is>
          <t>Bayfront Refining</t>
        </is>
      </c>
      <c r="E112" s="6" t="inlineStr">
        <is>
          <t>Capital project</t>
        </is>
      </c>
      <c r="F112" s="6" t="inlineStr">
        <is>
          <t>Capital project, 365 days: stale, rejected D2</t>
        </is>
      </c>
      <c r="G112" s="6" t="inlineStr">
        <is>
          <t>Rejected</t>
        </is>
      </c>
      <c r="H112" s="6" t="inlineStr">
        <is>
          <t>D2</t>
        </is>
      </c>
      <c r="I112" s="6" t="inlineStr">
        <is>
          <t>365 days old; this signal type counts for 365 days</t>
        </is>
      </c>
      <c r="J112" s="6" t="inlineStr">
        <is>
          <t>Mia Tan</t>
        </is>
      </c>
      <c r="K112" s="6" t="n">
        <v>365</v>
      </c>
      <c r="L112" s="6" t="inlineStr"/>
      <c r="M112" s="7" t="inlineStr">
        <is>
          <t>Not run</t>
        </is>
      </c>
      <c r="N112" s="7" t="inlineStr"/>
    </row>
    <row r="113">
      <c r="A113" s="6" t="inlineStr">
        <is>
          <t>G07</t>
        </is>
      </c>
      <c r="B113" s="6" t="inlineStr">
        <is>
          <t>2026-10-20</t>
        </is>
      </c>
      <c r="C113" s="6" t="n">
        <v>10</v>
      </c>
      <c r="D113" s="6" t="inlineStr">
        <is>
          <t>Apex Refining</t>
        </is>
      </c>
      <c r="E113" s="6" t="inlineStr">
        <is>
          <t>Leadership change</t>
        </is>
      </c>
      <c r="F113" s="6" t="inlineStr">
        <is>
          <t>Leadership change, 119 days: last day it counts, qualified with a small weight</t>
        </is>
      </c>
      <c r="G113" s="6" t="inlineStr">
        <is>
          <t>Qualified</t>
        </is>
      </c>
      <c r="H113" s="6" t="inlineStr">
        <is>
          <t>C1c</t>
        </is>
      </c>
      <c r="I113" s="6" t="inlineStr">
        <is>
          <t>Named in the file</t>
        </is>
      </c>
      <c r="J113" s="6" t="inlineStr">
        <is>
          <t>Kai Ong</t>
        </is>
      </c>
      <c r="K113" s="6" t="n">
        <v>119</v>
      </c>
      <c r="L113" s="6" t="n">
        <v>0.5</v>
      </c>
      <c r="M113" s="7" t="inlineStr">
        <is>
          <t>Not run</t>
        </is>
      </c>
      <c r="N113" s="7" t="inlineStr"/>
    </row>
    <row r="114">
      <c r="A114" s="6" t="inlineStr">
        <is>
          <t>G07</t>
        </is>
      </c>
      <c r="B114" s="6" t="inlineStr">
        <is>
          <t>2026-10-20</t>
        </is>
      </c>
      <c r="C114" s="6" t="n">
        <v>11</v>
      </c>
      <c r="D114" s="6" t="inlineStr">
        <is>
          <t>Bayfront Refining</t>
        </is>
      </c>
      <c r="E114" s="6" t="inlineStr">
        <is>
          <t>Leadership change</t>
        </is>
      </c>
      <c r="F114" s="6" t="inlineStr">
        <is>
          <t>Leadership change, 120 days: stale, rejected D2</t>
        </is>
      </c>
      <c r="G114" s="6" t="inlineStr">
        <is>
          <t>Rejected</t>
        </is>
      </c>
      <c r="H114" s="6" t="inlineStr">
        <is>
          <t>D2</t>
        </is>
      </c>
      <c r="I114" s="6" t="inlineStr">
        <is>
          <t>120 days old; this signal type counts for 120 days</t>
        </is>
      </c>
      <c r="J114" s="6" t="inlineStr">
        <is>
          <t>Mia Tan</t>
        </is>
      </c>
      <c r="K114" s="6" t="n">
        <v>120</v>
      </c>
      <c r="L114" s="6" t="inlineStr"/>
      <c r="M114" s="7" t="inlineStr">
        <is>
          <t>Not run</t>
        </is>
      </c>
      <c r="N114" s="7" t="inlineStr"/>
    </row>
    <row r="115">
      <c r="A115" s="6" t="inlineStr">
        <is>
          <t>G07</t>
        </is>
      </c>
      <c r="B115" s="6" t="inlineStr">
        <is>
          <t>2026-10-20</t>
        </is>
      </c>
      <c r="C115" s="6" t="n">
        <v>12</v>
      </c>
      <c r="D115" s="6" t="inlineStr">
        <is>
          <t>Apex Refining</t>
        </is>
      </c>
      <c r="E115" s="6" t="inlineStr">
        <is>
          <t>Webinar attended</t>
        </is>
      </c>
      <c r="F115" s="6" t="inlineStr">
        <is>
          <t>Webinar attended, 179 days: last day it counts, qualified with a small weight</t>
        </is>
      </c>
      <c r="G115" s="6" t="inlineStr">
        <is>
          <t>Qualified</t>
        </is>
      </c>
      <c r="H115" s="6" t="inlineStr">
        <is>
          <t>C1w</t>
        </is>
      </c>
      <c r="I115" s="6" t="inlineStr">
        <is>
          <t>Named in the file</t>
        </is>
      </c>
      <c r="J115" s="6" t="inlineStr">
        <is>
          <t>Kai Ong</t>
        </is>
      </c>
      <c r="K115" s="6" t="n">
        <v>179</v>
      </c>
      <c r="L115" s="6" t="n">
        <v>0.4</v>
      </c>
      <c r="M115" s="7" t="inlineStr">
        <is>
          <t>Not run</t>
        </is>
      </c>
      <c r="N115" s="7" t="inlineStr"/>
    </row>
    <row r="116">
      <c r="A116" s="6" t="inlineStr">
        <is>
          <t>G07</t>
        </is>
      </c>
      <c r="B116" s="6" t="inlineStr">
        <is>
          <t>2026-10-20</t>
        </is>
      </c>
      <c r="C116" s="6" t="n">
        <v>13</v>
      </c>
      <c r="D116" s="6" t="inlineStr">
        <is>
          <t>Bayfront Refining</t>
        </is>
      </c>
      <c r="E116" s="6" t="inlineStr">
        <is>
          <t>Webinar attended</t>
        </is>
      </c>
      <c r="F116" s="6" t="inlineStr">
        <is>
          <t>Webinar attended, 180 days: stale, rejected D2</t>
        </is>
      </c>
      <c r="G116" s="6" t="inlineStr">
        <is>
          <t>Rejected</t>
        </is>
      </c>
      <c r="H116" s="6" t="inlineStr">
        <is>
          <t>D2</t>
        </is>
      </c>
      <c r="I116" s="6" t="inlineStr">
        <is>
          <t>180 days old; this signal type counts for 180 days</t>
        </is>
      </c>
      <c r="J116" s="6" t="inlineStr">
        <is>
          <t>Mia Tan</t>
        </is>
      </c>
      <c r="K116" s="6" t="n">
        <v>180</v>
      </c>
      <c r="L116" s="6" t="inlineStr"/>
      <c r="M116" s="7" t="inlineStr">
        <is>
          <t>Not run</t>
        </is>
      </c>
      <c r="N116" s="7" t="inlineStr"/>
    </row>
    <row r="117">
      <c r="A117" s="6" t="inlineStr">
        <is>
          <t>G07</t>
        </is>
      </c>
      <c r="B117" s="6" t="inlineStr">
        <is>
          <t>2026-10-20</t>
        </is>
      </c>
      <c r="C117" s="6" t="n">
        <v>14</v>
      </c>
      <c r="D117" s="6" t="inlineStr">
        <is>
          <t>Apex Refining</t>
        </is>
      </c>
      <c r="E117" s="6" t="inlineStr">
        <is>
          <t>Webinar registered</t>
        </is>
      </c>
      <c r="F117" s="6" t="inlineStr">
        <is>
          <t>Webinar registered, 119 days: last day it counts, qualified with a small weight</t>
        </is>
      </c>
      <c r="G117" s="6" t="inlineStr">
        <is>
          <t>Qualified</t>
        </is>
      </c>
      <c r="H117" s="6" t="inlineStr">
        <is>
          <t>C1w</t>
        </is>
      </c>
      <c r="I117" s="6" t="inlineStr">
        <is>
          <t>Named in the file</t>
        </is>
      </c>
      <c r="J117" s="6" t="inlineStr">
        <is>
          <t>Kai Ong</t>
        </is>
      </c>
      <c r="K117" s="6" t="n">
        <v>119</v>
      </c>
      <c r="L117" s="6" t="n">
        <v>0.3</v>
      </c>
      <c r="M117" s="7" t="inlineStr">
        <is>
          <t>Not run</t>
        </is>
      </c>
      <c r="N117" s="7" t="inlineStr"/>
    </row>
    <row r="118">
      <c r="A118" s="6" t="inlineStr">
        <is>
          <t>G07</t>
        </is>
      </c>
      <c r="B118" s="6" t="inlineStr">
        <is>
          <t>2026-10-20</t>
        </is>
      </c>
      <c r="C118" s="6" t="n">
        <v>15</v>
      </c>
      <c r="D118" s="6" t="inlineStr">
        <is>
          <t>Bayfront Refining</t>
        </is>
      </c>
      <c r="E118" s="6" t="inlineStr">
        <is>
          <t>Webinar registered</t>
        </is>
      </c>
      <c r="F118" s="6" t="inlineStr">
        <is>
          <t>Webinar registered, 120 days: stale, rejected D2</t>
        </is>
      </c>
      <c r="G118" s="6" t="inlineStr">
        <is>
          <t>Rejected</t>
        </is>
      </c>
      <c r="H118" s="6" t="inlineStr">
        <is>
          <t>D2</t>
        </is>
      </c>
      <c r="I118" s="6" t="inlineStr">
        <is>
          <t>120 days old; this signal type counts for 120 days</t>
        </is>
      </c>
      <c r="J118" s="6" t="inlineStr">
        <is>
          <t>Mia Tan</t>
        </is>
      </c>
      <c r="K118" s="6" t="n">
        <v>120</v>
      </c>
      <c r="L118" s="6" t="inlineStr"/>
      <c r="M118" s="7" t="inlineStr">
        <is>
          <t>Not run</t>
        </is>
      </c>
      <c r="N118" s="7" t="inlineStr"/>
    </row>
    <row r="119">
      <c r="A119" s="6" t="inlineStr">
        <is>
          <t>G07</t>
        </is>
      </c>
      <c r="B119" s="6" t="inlineStr">
        <is>
          <t>2026-10-20</t>
        </is>
      </c>
      <c r="C119" s="6" t="n">
        <v>16</v>
      </c>
      <c r="D119" s="6" t="inlineStr">
        <is>
          <t>Apex Refining</t>
        </is>
      </c>
      <c r="E119" s="6" t="inlineStr">
        <is>
          <t>Content download</t>
        </is>
      </c>
      <c r="F119" s="6" t="inlineStr">
        <is>
          <t>Content download, 179 days: last day it counts, qualified with a small weight</t>
        </is>
      </c>
      <c r="G119" s="6" t="inlineStr">
        <is>
          <t>Qualified</t>
        </is>
      </c>
      <c r="H119" s="6" t="inlineStr">
        <is>
          <t>C1w</t>
        </is>
      </c>
      <c r="I119" s="6" t="inlineStr">
        <is>
          <t>Named in the file</t>
        </is>
      </c>
      <c r="J119" s="6" t="inlineStr">
        <is>
          <t>Kai Ong</t>
        </is>
      </c>
      <c r="K119" s="6" t="n">
        <v>179</v>
      </c>
      <c r="L119" s="6" t="n">
        <v>0.4</v>
      </c>
      <c r="M119" s="7" t="inlineStr">
        <is>
          <t>Not run</t>
        </is>
      </c>
      <c r="N119" s="7" t="inlineStr"/>
    </row>
    <row r="120">
      <c r="A120" s="6" t="inlineStr">
        <is>
          <t>G07</t>
        </is>
      </c>
      <c r="B120" s="6" t="inlineStr">
        <is>
          <t>2026-10-20</t>
        </is>
      </c>
      <c r="C120" s="6" t="n">
        <v>17</v>
      </c>
      <c r="D120" s="6" t="inlineStr">
        <is>
          <t>Bayfront Refining</t>
        </is>
      </c>
      <c r="E120" s="6" t="inlineStr">
        <is>
          <t>Content download</t>
        </is>
      </c>
      <c r="F120" s="6" t="inlineStr">
        <is>
          <t>Content download, 180 days: stale, rejected D2</t>
        </is>
      </c>
      <c r="G120" s="6" t="inlineStr">
        <is>
          <t>Rejected</t>
        </is>
      </c>
      <c r="H120" s="6" t="inlineStr">
        <is>
          <t>D2</t>
        </is>
      </c>
      <c r="I120" s="6" t="inlineStr">
        <is>
          <t>180 days old; this signal type counts for 180 days</t>
        </is>
      </c>
      <c r="J120" s="6" t="inlineStr">
        <is>
          <t>Mia Tan</t>
        </is>
      </c>
      <c r="K120" s="6" t="n">
        <v>180</v>
      </c>
      <c r="L120" s="6" t="inlineStr"/>
      <c r="M120" s="7" t="inlineStr">
        <is>
          <t>Not run</t>
        </is>
      </c>
      <c r="N120" s="7" t="inlineStr"/>
    </row>
    <row r="121">
      <c r="A121" s="6" t="inlineStr">
        <is>
          <t>G07</t>
        </is>
      </c>
      <c r="B121" s="6" t="inlineStr">
        <is>
          <t>2026-10-20</t>
        </is>
      </c>
      <c r="C121" s="6" t="n">
        <v>18</v>
      </c>
      <c r="D121" s="6" t="inlineStr">
        <is>
          <t>Apex Refining</t>
        </is>
      </c>
      <c r="E121" s="6" t="inlineStr">
        <is>
          <t>Email clicked</t>
        </is>
      </c>
      <c r="F121" s="6" t="inlineStr">
        <is>
          <t>Email clicked, 59 days: last day it counts, qualified with a small weight</t>
        </is>
      </c>
      <c r="G121" s="6" t="inlineStr">
        <is>
          <t>Qualified</t>
        </is>
      </c>
      <c r="H121" s="6" t="inlineStr">
        <is>
          <t>C1x</t>
        </is>
      </c>
      <c r="I121" s="6" t="inlineStr">
        <is>
          <t>Named in the file</t>
        </is>
      </c>
      <c r="J121" s="6" t="inlineStr">
        <is>
          <t>Kai Ong</t>
        </is>
      </c>
      <c r="K121" s="6" t="n">
        <v>59</v>
      </c>
      <c r="L121" s="6" t="n">
        <v>0.7</v>
      </c>
      <c r="M121" s="7" t="inlineStr">
        <is>
          <t>Not run</t>
        </is>
      </c>
      <c r="N121" s="7" t="inlineStr"/>
    </row>
    <row r="122">
      <c r="A122" s="6" t="inlineStr">
        <is>
          <t>G07</t>
        </is>
      </c>
      <c r="B122" s="6" t="inlineStr">
        <is>
          <t>2026-10-20</t>
        </is>
      </c>
      <c r="C122" s="6" t="n">
        <v>19</v>
      </c>
      <c r="D122" s="6" t="inlineStr">
        <is>
          <t>Bayfront Refining</t>
        </is>
      </c>
      <c r="E122" s="6" t="inlineStr">
        <is>
          <t>Email clicked</t>
        </is>
      </c>
      <c r="F122" s="6" t="inlineStr">
        <is>
          <t>Email clicked, 60 days: stale, rejected D2</t>
        </is>
      </c>
      <c r="G122" s="6" t="inlineStr">
        <is>
          <t>Rejected</t>
        </is>
      </c>
      <c r="H122" s="6" t="inlineStr">
        <is>
          <t>D2</t>
        </is>
      </c>
      <c r="I122" s="6" t="inlineStr">
        <is>
          <t>60 days old; this signal type counts for 60 days</t>
        </is>
      </c>
      <c r="J122" s="6" t="inlineStr">
        <is>
          <t>Mia Tan</t>
        </is>
      </c>
      <c r="K122" s="6" t="n">
        <v>60</v>
      </c>
      <c r="L122" s="6" t="inlineStr"/>
      <c r="M122" s="7" t="inlineStr">
        <is>
          <t>Not run</t>
        </is>
      </c>
      <c r="N122" s="7" t="inlineStr"/>
    </row>
    <row r="123">
      <c r="A123" s="4" t="inlineStr">
        <is>
          <t>G08</t>
        </is>
      </c>
      <c r="B123" s="4" t="inlineStr">
        <is>
          <t>2026-10-20</t>
        </is>
      </c>
      <c r="C123" s="4" t="n">
        <v>2</v>
      </c>
      <c r="D123" s="4" t="inlineStr">
        <is>
          <t>Apex Refining</t>
        </is>
      </c>
      <c r="E123" s="4" t="inlineStr">
        <is>
          <t>Inquiry or RFQ</t>
        </is>
      </c>
      <c r="F123" s="4" t="inlineStr">
        <is>
          <t>Inquiry or RFQ, 30 days: weight full</t>
        </is>
      </c>
      <c r="G123" s="4" t="inlineStr">
        <is>
          <t>Qualified</t>
        </is>
      </c>
      <c r="H123" s="4" t="inlineStr">
        <is>
          <t>Y2</t>
        </is>
      </c>
      <c r="I123" s="4" t="inlineStr">
        <is>
          <t>Named in the file</t>
        </is>
      </c>
      <c r="J123" s="4" t="inlineStr">
        <is>
          <t>Kai Ong</t>
        </is>
      </c>
      <c r="K123" s="4" t="n">
        <v>30</v>
      </c>
      <c r="L123" s="4" t="n">
        <v>100</v>
      </c>
      <c r="M123" s="5" t="inlineStr">
        <is>
          <t>Not run</t>
        </is>
      </c>
      <c r="N123" s="5" t="inlineStr"/>
    </row>
    <row r="124">
      <c r="A124" s="4" t="inlineStr">
        <is>
          <t>G08</t>
        </is>
      </c>
      <c r="B124" s="4" t="inlineStr">
        <is>
          <t>2026-10-20</t>
        </is>
      </c>
      <c r="C124" s="4" t="n">
        <v>3</v>
      </c>
      <c r="D124" s="4" t="inlineStr">
        <is>
          <t>Apex Refining</t>
        </is>
      </c>
      <c r="E124" s="4" t="inlineStr">
        <is>
          <t>Inquiry or RFQ</t>
        </is>
      </c>
      <c r="F124" s="4" t="inlineStr">
        <is>
          <t>Inquiry or RFQ, 31 days: weight fading</t>
        </is>
      </c>
      <c r="G124" s="4" t="inlineStr">
        <is>
          <t>Qualified</t>
        </is>
      </c>
      <c r="H124" s="4" t="inlineStr">
        <is>
          <t>Y2</t>
        </is>
      </c>
      <c r="I124" s="4" t="inlineStr">
        <is>
          <t>Named in the file</t>
        </is>
      </c>
      <c r="J124" s="4" t="inlineStr">
        <is>
          <t>Kai Ong</t>
        </is>
      </c>
      <c r="K124" s="4" t="n">
        <v>31</v>
      </c>
      <c r="L124" s="4" t="n">
        <v>98.3</v>
      </c>
      <c r="M124" s="5" t="inlineStr">
        <is>
          <t>Not run</t>
        </is>
      </c>
      <c r="N124" s="5" t="inlineStr"/>
    </row>
    <row r="125">
      <c r="A125" s="4" t="inlineStr">
        <is>
          <t>G08</t>
        </is>
      </c>
      <c r="B125" s="4" t="inlineStr">
        <is>
          <t>2026-10-20</t>
        </is>
      </c>
      <c r="C125" s="4" t="n">
        <v>4</v>
      </c>
      <c r="D125" s="4" t="inlineStr">
        <is>
          <t>Apex Refining</t>
        </is>
      </c>
      <c r="E125" s="4" t="inlineStr">
        <is>
          <t>Inquiry or RFQ</t>
        </is>
      </c>
      <c r="F125" s="4" t="inlineStr">
        <is>
          <t>Inquiry or RFQ, 60 days: weight fading</t>
        </is>
      </c>
      <c r="G125" s="4" t="inlineStr">
        <is>
          <t>Qualified</t>
        </is>
      </c>
      <c r="H125" s="4" t="inlineStr">
        <is>
          <t>Y2</t>
        </is>
      </c>
      <c r="I125" s="4" t="inlineStr">
        <is>
          <t>Named in the file</t>
        </is>
      </c>
      <c r="J125" s="4" t="inlineStr">
        <is>
          <t>Kai Ong</t>
        </is>
      </c>
      <c r="K125" s="4" t="n">
        <v>60</v>
      </c>
      <c r="L125" s="4" t="n">
        <v>50</v>
      </c>
      <c r="M125" s="5" t="inlineStr">
        <is>
          <t>Not run</t>
        </is>
      </c>
      <c r="N125" s="5" t="inlineStr"/>
    </row>
    <row r="126">
      <c r="A126" s="4" t="inlineStr">
        <is>
          <t>G08</t>
        </is>
      </c>
      <c r="B126" s="4" t="inlineStr">
        <is>
          <t>2026-10-20</t>
        </is>
      </c>
      <c r="C126" s="4" t="n">
        <v>5</v>
      </c>
      <c r="D126" s="4" t="inlineStr">
        <is>
          <t>Apex Refining</t>
        </is>
      </c>
      <c r="E126" s="4" t="inlineStr">
        <is>
          <t>Webinar attended</t>
        </is>
      </c>
      <c r="F126" s="4" t="inlineStr">
        <is>
          <t>Webinar attended, 30 days: weight full</t>
        </is>
      </c>
      <c r="G126" s="4" t="inlineStr">
        <is>
          <t>Qualified</t>
        </is>
      </c>
      <c r="H126" s="4" t="inlineStr">
        <is>
          <t>C1w</t>
        </is>
      </c>
      <c r="I126" s="4" t="inlineStr">
        <is>
          <t>Named in the file</t>
        </is>
      </c>
      <c r="J126" s="4" t="inlineStr">
        <is>
          <t>Kai Ong</t>
        </is>
      </c>
      <c r="K126" s="4" t="n">
        <v>30</v>
      </c>
      <c r="L126" s="4" t="n">
        <v>60</v>
      </c>
      <c r="M126" s="5" t="inlineStr">
        <is>
          <t>Not run</t>
        </is>
      </c>
      <c r="N126" s="5" t="inlineStr"/>
    </row>
    <row r="127">
      <c r="A127" s="4" t="inlineStr">
        <is>
          <t>G08</t>
        </is>
      </c>
      <c r="B127" s="4" t="inlineStr">
        <is>
          <t>2026-10-20</t>
        </is>
      </c>
      <c r="C127" s="4" t="n">
        <v>6</v>
      </c>
      <c r="D127" s="4" t="inlineStr">
        <is>
          <t>Apex Refining</t>
        </is>
      </c>
      <c r="E127" s="4" t="inlineStr">
        <is>
          <t>Webinar attended</t>
        </is>
      </c>
      <c r="F127" s="4" t="inlineStr">
        <is>
          <t>Webinar attended, 31 days: weight fading</t>
        </is>
      </c>
      <c r="G127" s="4" t="inlineStr">
        <is>
          <t>Qualified</t>
        </is>
      </c>
      <c r="H127" s="4" t="inlineStr">
        <is>
          <t>C1w</t>
        </is>
      </c>
      <c r="I127" s="4" t="inlineStr">
        <is>
          <t>Named in the file</t>
        </is>
      </c>
      <c r="J127" s="4" t="inlineStr">
        <is>
          <t>Kai Ong</t>
        </is>
      </c>
      <c r="K127" s="4" t="n">
        <v>31</v>
      </c>
      <c r="L127" s="4" t="n">
        <v>59.6</v>
      </c>
      <c r="M127" s="5" t="inlineStr">
        <is>
          <t>Not run</t>
        </is>
      </c>
      <c r="N127" s="5" t="inlineStr"/>
    </row>
    <row r="128">
      <c r="A128" s="4" t="inlineStr">
        <is>
          <t>G08</t>
        </is>
      </c>
      <c r="B128" s="4" t="inlineStr">
        <is>
          <t>2026-10-20</t>
        </is>
      </c>
      <c r="C128" s="4" t="n">
        <v>7</v>
      </c>
      <c r="D128" s="4" t="inlineStr">
        <is>
          <t>Apex Refining</t>
        </is>
      </c>
      <c r="E128" s="4" t="inlineStr">
        <is>
          <t>Webinar attended</t>
        </is>
      </c>
      <c r="F128" s="4" t="inlineStr">
        <is>
          <t>Webinar attended, 105 days: weight fading</t>
        </is>
      </c>
      <c r="G128" s="4" t="inlineStr">
        <is>
          <t>Qualified</t>
        </is>
      </c>
      <c r="H128" s="4" t="inlineStr">
        <is>
          <t>C1w</t>
        </is>
      </c>
      <c r="I128" s="4" t="inlineStr">
        <is>
          <t>Named in the file</t>
        </is>
      </c>
      <c r="J128" s="4" t="inlineStr">
        <is>
          <t>Kai Ong</t>
        </is>
      </c>
      <c r="K128" s="4" t="n">
        <v>105</v>
      </c>
      <c r="L128" s="4" t="n">
        <v>30</v>
      </c>
      <c r="M128" s="5" t="inlineStr">
        <is>
          <t>Not run</t>
        </is>
      </c>
      <c r="N128" s="5" t="inlineStr"/>
    </row>
    <row r="129">
      <c r="A129" s="4" t="inlineStr">
        <is>
          <t>G08</t>
        </is>
      </c>
      <c r="B129" s="4" t="inlineStr">
        <is>
          <t>2026-10-20</t>
        </is>
      </c>
      <c r="C129" s="4" t="n">
        <v>8</v>
      </c>
      <c r="D129" s="4" t="inlineStr">
        <is>
          <t>Apex Refining</t>
        </is>
      </c>
      <c r="E129" s="4" t="inlineStr">
        <is>
          <t>Email clicked</t>
        </is>
      </c>
      <c r="F129" s="4" t="inlineStr">
        <is>
          <t>Email clicked, 14 days: weight full</t>
        </is>
      </c>
      <c r="G129" s="4" t="inlineStr">
        <is>
          <t>Qualified</t>
        </is>
      </c>
      <c r="H129" s="4" t="inlineStr">
        <is>
          <t>C1x</t>
        </is>
      </c>
      <c r="I129" s="4" t="inlineStr">
        <is>
          <t>Named in the file</t>
        </is>
      </c>
      <c r="J129" s="4" t="inlineStr">
        <is>
          <t>Kai Ong</t>
        </is>
      </c>
      <c r="K129" s="4" t="n">
        <v>14</v>
      </c>
      <c r="L129" s="4" t="n">
        <v>30</v>
      </c>
      <c r="M129" s="5" t="inlineStr">
        <is>
          <t>Not run</t>
        </is>
      </c>
      <c r="N129" s="5" t="inlineStr"/>
    </row>
    <row r="130">
      <c r="A130" s="4" t="inlineStr">
        <is>
          <t>G08</t>
        </is>
      </c>
      <c r="B130" s="4" t="inlineStr">
        <is>
          <t>2026-10-20</t>
        </is>
      </c>
      <c r="C130" s="4" t="n">
        <v>9</v>
      </c>
      <c r="D130" s="4" t="inlineStr">
        <is>
          <t>Apex Refining</t>
        </is>
      </c>
      <c r="E130" s="4" t="inlineStr">
        <is>
          <t>Email clicked</t>
        </is>
      </c>
      <c r="F130" s="4" t="inlineStr">
        <is>
          <t>Email clicked, 15 days: weight fading</t>
        </is>
      </c>
      <c r="G130" s="4" t="inlineStr">
        <is>
          <t>Qualified</t>
        </is>
      </c>
      <c r="H130" s="4" t="inlineStr">
        <is>
          <t>C1x</t>
        </is>
      </c>
      <c r="I130" s="4" t="inlineStr">
        <is>
          <t>Named in the file</t>
        </is>
      </c>
      <c r="J130" s="4" t="inlineStr">
        <is>
          <t>Kai Ong</t>
        </is>
      </c>
      <c r="K130" s="4" t="n">
        <v>15</v>
      </c>
      <c r="L130" s="4" t="n">
        <v>29.3</v>
      </c>
      <c r="M130" s="5" t="inlineStr">
        <is>
          <t>Not run</t>
        </is>
      </c>
      <c r="N130" s="5" t="inlineStr"/>
    </row>
    <row r="131">
      <c r="A131" s="4" t="inlineStr">
        <is>
          <t>G08</t>
        </is>
      </c>
      <c r="B131" s="4" t="inlineStr">
        <is>
          <t>2026-10-20</t>
        </is>
      </c>
      <c r="C131" s="4" t="n">
        <v>10</v>
      </c>
      <c r="D131" s="4" t="inlineStr">
        <is>
          <t>Apex Refining</t>
        </is>
      </c>
      <c r="E131" s="4" t="inlineStr">
        <is>
          <t>Email clicked</t>
        </is>
      </c>
      <c r="F131" s="4" t="inlineStr">
        <is>
          <t>Email clicked, 37 days: weight fading</t>
        </is>
      </c>
      <c r="G131" s="4" t="inlineStr">
        <is>
          <t>Qualified</t>
        </is>
      </c>
      <c r="H131" s="4" t="inlineStr">
        <is>
          <t>C1x</t>
        </is>
      </c>
      <c r="I131" s="4" t="inlineStr">
        <is>
          <t>Named in the file</t>
        </is>
      </c>
      <c r="J131" s="4" t="inlineStr">
        <is>
          <t>Kai Ong</t>
        </is>
      </c>
      <c r="K131" s="4" t="n">
        <v>37</v>
      </c>
      <c r="L131" s="4" t="n">
        <v>15</v>
      </c>
      <c r="M131" s="5" t="inlineStr">
        <is>
          <t>Not run</t>
        </is>
      </c>
      <c r="N131" s="5" t="inlineStr"/>
    </row>
    <row r="132">
      <c r="A132" s="6" t="inlineStr">
        <is>
          <t>G09</t>
        </is>
      </c>
      <c r="B132" s="6" t="inlineStr">
        <is>
          <t>2026-10-20</t>
        </is>
      </c>
      <c r="C132" s="6" t="n">
        <v>2</v>
      </c>
      <c r="D132" s="6" t="inlineStr">
        <is>
          <t>Apex Refining</t>
        </is>
      </c>
      <c r="E132" s="6" t="inlineStr">
        <is>
          <t>Webinar attended</t>
        </is>
      </c>
      <c r="F132" s="6" t="inlineStr">
        <is>
          <t>No detail, source or product: qualified, noted; the why-now line names only the type</t>
        </is>
      </c>
      <c r="G132" s="6" t="inlineStr">
        <is>
          <t>Qualified</t>
        </is>
      </c>
      <c r="H132" s="6" t="inlineStr">
        <is>
          <t>C1w</t>
        </is>
      </c>
      <c r="I132" s="6" t="inlineStr">
        <is>
          <t>Named in the file</t>
        </is>
      </c>
      <c r="J132" s="6" t="inlineStr">
        <is>
          <t>Kai Ong</t>
        </is>
      </c>
      <c r="K132" s="6" t="n">
        <v>5</v>
      </c>
      <c r="L132" s="6" t="n">
        <v>60</v>
      </c>
      <c r="M132" s="7" t="inlineStr">
        <is>
          <t>Not run</t>
        </is>
      </c>
      <c r="N132" s="7" t="inlineStr"/>
    </row>
    <row r="133">
      <c r="A133" s="6" t="inlineStr">
        <is>
          <t>G09</t>
        </is>
      </c>
      <c r="B133" s="6" t="inlineStr">
        <is>
          <t>2026-10-20</t>
        </is>
      </c>
      <c r="C133" s="6" t="n">
        <v>3</v>
      </c>
      <c r="D133" s="6" t="inlineStr">
        <is>
          <t>Bayfront Refining</t>
        </is>
      </c>
      <c r="E133" s="6" t="inlineStr">
        <is>
          <t>Inquiry or RFQ</t>
        </is>
      </c>
      <c r="F133" s="6" t="inlineStr">
        <is>
          <t>No source: qualified</t>
        </is>
      </c>
      <c r="G133" s="6" t="inlineStr">
        <is>
          <t>Qualified</t>
        </is>
      </c>
      <c r="H133" s="6" t="inlineStr">
        <is>
          <t>Y2</t>
        </is>
      </c>
      <c r="I133" s="6" t="inlineStr">
        <is>
          <t>Named in the file</t>
        </is>
      </c>
      <c r="J133" s="6" t="inlineStr">
        <is>
          <t>Mia Tan</t>
        </is>
      </c>
      <c r="K133" s="6" t="n">
        <v>5</v>
      </c>
      <c r="L133" s="6" t="n">
        <v>100</v>
      </c>
      <c r="M133" s="7" t="inlineStr">
        <is>
          <t>Not run</t>
        </is>
      </c>
      <c r="N133" s="7" t="inlineStr"/>
    </row>
    <row r="134">
      <c r="A134" s="4" t="inlineStr">
        <is>
          <t>G10</t>
        </is>
      </c>
      <c r="B134" s="4" t="inlineStr">
        <is>
          <t>2026-10-20</t>
        </is>
      </c>
      <c r="C134" s="4" t="n">
        <v>2</v>
      </c>
      <c r="D134" s="4" t="inlineStr">
        <is>
          <t>Apex Refining</t>
        </is>
      </c>
      <c r="E134" s="4" t="inlineStr">
        <is>
          <t>Webinar attended</t>
        </is>
      </c>
      <c r="F134" s="4" t="inlineStr">
        <is>
          <t>Row 1</t>
        </is>
      </c>
      <c r="G134" s="4" t="inlineStr">
        <is>
          <t>Qualified</t>
        </is>
      </c>
      <c r="H134" s="4" t="inlineStr">
        <is>
          <t>C1w</t>
        </is>
      </c>
      <c r="I134" s="4" t="inlineStr">
        <is>
          <t>Named in the file</t>
        </is>
      </c>
      <c r="J134" s="4" t="inlineStr">
        <is>
          <t>Kai Ong</t>
        </is>
      </c>
      <c r="K134" s="4" t="n">
        <v>5</v>
      </c>
      <c r="L134" s="4" t="n">
        <v>60</v>
      </c>
      <c r="M134" s="5" t="inlineStr">
        <is>
          <t>Not run</t>
        </is>
      </c>
      <c r="N134" s="5" t="inlineStr"/>
    </row>
    <row r="135">
      <c r="A135" s="4" t="inlineStr">
        <is>
          <t>G10</t>
        </is>
      </c>
      <c r="B135" s="4" t="inlineStr">
        <is>
          <t>2026-10-20</t>
        </is>
      </c>
      <c r="C135" s="4" t="n">
        <v>3</v>
      </c>
      <c r="D135" s="4" t="inlineStr">
        <is>
          <t>Bayfront Refining</t>
        </is>
      </c>
      <c r="E135" s="4" t="inlineStr">
        <is>
          <t>Inquiry or RFQ</t>
        </is>
      </c>
      <c r="F135" s="4" t="inlineStr">
        <is>
          <t>Row 2</t>
        </is>
      </c>
      <c r="G135" s="4" t="inlineStr">
        <is>
          <t>Qualified</t>
        </is>
      </c>
      <c r="H135" s="4" t="inlineStr">
        <is>
          <t>Y2</t>
        </is>
      </c>
      <c r="I135" s="4" t="inlineStr">
        <is>
          <t>Named in the file</t>
        </is>
      </c>
      <c r="J135" s="4" t="inlineStr">
        <is>
          <t>Mia Tan</t>
        </is>
      </c>
      <c r="K135" s="4" t="n">
        <v>5</v>
      </c>
      <c r="L135" s="4" t="n">
        <v>100</v>
      </c>
      <c r="M135" s="5" t="inlineStr">
        <is>
          <t>Not run</t>
        </is>
      </c>
      <c r="N135" s="5" t="inlineStr"/>
    </row>
    <row r="136">
      <c r="A136" s="6" t="inlineStr">
        <is>
          <t>G13</t>
        </is>
      </c>
      <c r="B136" s="6" t="inlineStr">
        <is>
          <t>2026-10-20</t>
        </is>
      </c>
      <c r="C136" s="6" t="n">
        <v>2</v>
      </c>
      <c r="D136" s="6" t="inlineStr">
        <is>
          <t>Apex Refining</t>
        </is>
      </c>
      <c r="E136" s="6" t="inlineStr">
        <is>
          <t>Inquiry or RFQ</t>
        </is>
      </c>
      <c r="F136" s="6" t="inlineStr">
        <is>
          <t>Apex inquiry</t>
        </is>
      </c>
      <c r="G136" s="6" t="inlineStr">
        <is>
          <t>Qualified</t>
        </is>
      </c>
      <c r="H136" s="6" t="inlineStr">
        <is>
          <t>Y2</t>
        </is>
      </c>
      <c r="I136" s="6" t="inlineStr">
        <is>
          <t>Named in the file</t>
        </is>
      </c>
      <c r="J136" s="6" t="inlineStr">
        <is>
          <t>Kai Ong</t>
        </is>
      </c>
      <c r="K136" s="6" t="n">
        <v>5</v>
      </c>
      <c r="L136" s="6" t="n">
        <v>100</v>
      </c>
      <c r="M136" s="7" t="inlineStr">
        <is>
          <t>Not run</t>
        </is>
      </c>
      <c r="N136" s="7" t="inlineStr"/>
    </row>
    <row r="137">
      <c r="A137" s="6" t="inlineStr">
        <is>
          <t>G13</t>
        </is>
      </c>
      <c r="B137" s="6" t="inlineStr">
        <is>
          <t>2026-10-20</t>
        </is>
      </c>
      <c r="C137" s="6" t="n">
        <v>3</v>
      </c>
      <c r="D137" s="6" t="inlineStr">
        <is>
          <t>Bayfront Refining</t>
        </is>
      </c>
      <c r="E137" s="6" t="inlineStr">
        <is>
          <t>Webinar attended</t>
        </is>
      </c>
      <c r="F137" s="6" t="inlineStr">
        <is>
          <t>Bayfront webinar</t>
        </is>
      </c>
      <c r="G137" s="6" t="inlineStr">
        <is>
          <t>Qualified</t>
        </is>
      </c>
      <c r="H137" s="6" t="inlineStr">
        <is>
          <t>C1w</t>
        </is>
      </c>
      <c r="I137" s="6" t="inlineStr">
        <is>
          <t>Named in the file</t>
        </is>
      </c>
      <c r="J137" s="6" t="inlineStr">
        <is>
          <t>Mia Tan</t>
        </is>
      </c>
      <c r="K137" s="6" t="n">
        <v>8</v>
      </c>
      <c r="L137" s="6" t="n">
        <v>60</v>
      </c>
      <c r="M137" s="7" t="inlineStr">
        <is>
          <t>Not run</t>
        </is>
      </c>
      <c r="N137" s="7" t="inlineStr"/>
    </row>
    <row r="138">
      <c r="A138" s="4" t="inlineStr">
        <is>
          <t>G14</t>
        </is>
      </c>
      <c r="B138" s="4" t="inlineStr">
        <is>
          <t>2026-10-20</t>
        </is>
      </c>
      <c r="C138" s="4" t="n">
        <v>2</v>
      </c>
      <c r="D138" s="4" t="inlineStr">
        <is>
          <t>Tidewater Refining</t>
        </is>
      </c>
      <c r="E138" s="4" t="inlineStr">
        <is>
          <t>Inquiry or RFQ</t>
        </is>
      </c>
      <c r="F138" s="4" t="inlineStr">
        <is>
          <t>Excluded account (Australia): not used</t>
        </is>
      </c>
      <c r="G138" s="4" t="inlineStr">
        <is>
          <t>Not used</t>
        </is>
      </c>
      <c r="H138" s="4" t="inlineStr">
        <is>
          <t>Y2</t>
        </is>
      </c>
      <c r="I138" s="4" t="inlineStr">
        <is>
          <t>Qualified, but the account is excluded (Outside the pilot region (Australia))</t>
        </is>
      </c>
      <c r="J138" s="4" t="inlineStr">
        <is>
          <t>Hu Koh</t>
        </is>
      </c>
      <c r="K138" s="4" t="n">
        <v>5</v>
      </c>
      <c r="L138" s="4" t="n">
        <v>100</v>
      </c>
      <c r="M138" s="5" t="inlineStr">
        <is>
          <t>Not run</t>
        </is>
      </c>
      <c r="N138" s="5" t="inlineStr"/>
    </row>
    <row r="139">
      <c r="A139" s="4" t="inlineStr">
        <is>
          <t>G14</t>
        </is>
      </c>
      <c r="B139" s="4" t="inlineStr">
        <is>
          <t>2026-10-20</t>
        </is>
      </c>
      <c r="C139" s="4" t="n">
        <v>3</v>
      </c>
      <c r="D139" s="4" t="inlineStr">
        <is>
          <t>Kingsbridge Fuels</t>
        </is>
      </c>
      <c r="E139" s="4" t="inlineStr">
        <is>
          <t>Inquiry or RFQ</t>
        </is>
      </c>
      <c r="F139" s="4" t="inlineStr">
        <is>
          <t>Below the fit floor: not used</t>
        </is>
      </c>
      <c r="G139" s="4" t="inlineStr">
        <is>
          <t>Not used</t>
        </is>
      </c>
      <c r="H139" s="4" t="inlineStr">
        <is>
          <t>Y2</t>
        </is>
      </c>
      <c r="I139" s="4" t="inlineStr">
        <is>
          <t>Qualified, but the account is below the fit floor</t>
        </is>
      </c>
      <c r="J139" s="4" t="inlineStr">
        <is>
          <t>Dee Lim</t>
        </is>
      </c>
      <c r="K139" s="4" t="n">
        <v>5</v>
      </c>
      <c r="L139" s="4" t="n">
        <v>100</v>
      </c>
      <c r="M139" s="5" t="inlineStr">
        <is>
          <t>Not run</t>
        </is>
      </c>
      <c r="N139" s="5" t="inlineStr"/>
    </row>
    <row r="140">
      <c r="A140" s="4" t="inlineStr">
        <is>
          <t>G14</t>
        </is>
      </c>
      <c r="B140" s="4" t="inlineStr">
        <is>
          <t>2026-10-20</t>
        </is>
      </c>
      <c r="C140" s="4" t="n">
        <v>4</v>
      </c>
      <c r="D140" s="4" t="inlineStr">
        <is>
          <t>Apex Refining</t>
        </is>
      </c>
      <c r="E140" s="4" t="inlineStr">
        <is>
          <t>Inquiry or RFQ</t>
        </is>
      </c>
      <c r="F140" s="4" t="inlineStr">
        <is>
          <t>Control: qualified</t>
        </is>
      </c>
      <c r="G140" s="4" t="inlineStr">
        <is>
          <t>Qualified</t>
        </is>
      </c>
      <c r="H140" s="4" t="inlineStr">
        <is>
          <t>Y2</t>
        </is>
      </c>
      <c r="I140" s="4" t="inlineStr">
        <is>
          <t>Named in the file</t>
        </is>
      </c>
      <c r="J140" s="4" t="inlineStr">
        <is>
          <t>Kai Ong</t>
        </is>
      </c>
      <c r="K140" s="4" t="n">
        <v>5</v>
      </c>
      <c r="L140" s="4" t="n">
        <v>100</v>
      </c>
      <c r="M140" s="5" t="inlineStr">
        <is>
          <t>Not run</t>
        </is>
      </c>
      <c r="N140" s="5" t="inlineStr"/>
    </row>
  </sheetData>
  <autoFilter ref="A1:N140"/>
  <conditionalFormatting sqref="M2:M140">
    <cfRule type="expression" priority="1" dxfId="0">
      <formula>$M2="Pass"</formula>
    </cfRule>
    <cfRule type="expression" priority="2" dxfId="1">
      <formula>$M2="Fail"</formula>
    </cfRule>
    <cfRule type="expression" priority="3" dxfId="2">
      <formula>$M2="Blocked"</formula>
    </cfRule>
    <cfRule type="expression" priority="4" dxfId="3">
      <formula>$M2="Not in scope"</formula>
    </cfRule>
  </conditionalFormatting>
  <dataValidations count="1">
    <dataValidation sqref="M2:M140" showDropDown="0" showInputMessage="0" showErrorMessage="0" allowBlank="1" type="list">
      <formula1>"Not run,Pass,Fail,Blocked,Not in scope"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9" customWidth="1" min="4" max="4"/>
    <col width="9" customWidth="1" min="5" max="5"/>
    <col width="9" customWidth="1" min="6" max="6"/>
    <col width="14" customWidth="1" min="7" max="7"/>
    <col width="9" customWidth="1" min="8" max="8"/>
    <col width="44" customWidth="1" min="9" max="9"/>
  </cols>
  <sheetData>
    <row r="1">
      <c r="A1" s="3" t="inlineStr">
        <is>
          <t>File</t>
        </is>
      </c>
      <c r="B1" s="3" t="inlineStr">
        <is>
          <t>Score as of</t>
        </is>
      </c>
      <c r="C1" s="3" t="inlineStr">
        <is>
          <t>Account</t>
        </is>
      </c>
      <c r="D1" s="3" t="inlineStr">
        <is>
          <t>Fit (0-100)</t>
        </is>
      </c>
      <c r="E1" s="3" t="inlineStr">
        <is>
          <t>Timing (0-100)</t>
        </is>
      </c>
      <c r="F1" s="3" t="inlineStr">
        <is>
          <t>Score (0-100)</t>
        </is>
      </c>
      <c r="G1" s="3" t="inlineStr">
        <is>
          <t>Tier</t>
        </is>
      </c>
      <c r="H1" s="3" t="inlineStr">
        <is>
          <t>Qualified signals</t>
        </is>
      </c>
      <c r="I1" s="3" t="inlineStr">
        <is>
          <t>Confidence, or why not scored</t>
        </is>
      </c>
    </row>
    <row r="2">
      <c r="A2" s="6" t="inlineStr">
        <is>
          <t>S01</t>
        </is>
      </c>
      <c r="B2" s="6" t="inlineStr">
        <is>
          <t>2026-10-20</t>
        </is>
      </c>
      <c r="C2" s="6" t="inlineStr">
        <is>
          <t>Apex Refining</t>
        </is>
      </c>
      <c r="D2" s="6" t="n">
        <v>100</v>
      </c>
      <c r="E2" s="6" t="n">
        <v>50</v>
      </c>
      <c r="F2" s="6" t="n">
        <v>50</v>
      </c>
      <c r="G2" s="6" t="inlineStr">
        <is>
          <t>A</t>
        </is>
      </c>
      <c r="H2" s="6" t="n">
        <v>1</v>
      </c>
      <c r="I2" s="6" t="inlineStr">
        <is>
          <t>medium</t>
        </is>
      </c>
    </row>
    <row r="3">
      <c r="A3" s="6" t="inlineStr">
        <is>
          <t>S01</t>
        </is>
      </c>
      <c r="B3" s="6" t="inlineStr">
        <is>
          <t>2026-10-20</t>
        </is>
      </c>
      <c r="C3" s="6" t="inlineStr">
        <is>
          <t>Bayfront Refining</t>
        </is>
      </c>
      <c r="D3" s="6" t="n">
        <v>100</v>
      </c>
      <c r="E3" s="6" t="n">
        <v>50</v>
      </c>
      <c r="F3" s="6" t="n">
        <v>50</v>
      </c>
      <c r="G3" s="6" t="inlineStr">
        <is>
          <t>A</t>
        </is>
      </c>
      <c r="H3" s="6" t="n">
        <v>1</v>
      </c>
      <c r="I3" s="6" t="inlineStr">
        <is>
          <t>medium</t>
        </is>
      </c>
    </row>
    <row r="4">
      <c r="A4" s="6" t="inlineStr">
        <is>
          <t>S01</t>
        </is>
      </c>
      <c r="B4" s="6" t="inlineStr">
        <is>
          <t>2026-10-20</t>
        </is>
      </c>
      <c r="C4" s="6" t="inlineStr">
        <is>
          <t>Coldwater Refining</t>
        </is>
      </c>
      <c r="D4" s="6" t="n">
        <v>100</v>
      </c>
      <c r="E4" s="6" t="n">
        <v>40</v>
      </c>
      <c r="F4" s="6" t="n">
        <v>40</v>
      </c>
      <c r="G4" s="6" t="inlineStr">
        <is>
          <t>A</t>
        </is>
      </c>
      <c r="H4" s="6" t="n">
        <v>1</v>
      </c>
      <c r="I4" s="6" t="inlineStr">
        <is>
          <t>medium</t>
        </is>
      </c>
    </row>
    <row r="5">
      <c r="A5" s="6" t="inlineStr">
        <is>
          <t>S01</t>
        </is>
      </c>
      <c r="B5" s="6" t="inlineStr">
        <is>
          <t>2026-10-20</t>
        </is>
      </c>
      <c r="C5" s="6" t="inlineStr">
        <is>
          <t>Driftwood Refining</t>
        </is>
      </c>
      <c r="D5" s="6" t="n">
        <v>100</v>
      </c>
      <c r="E5" s="6" t="n">
        <v>30</v>
      </c>
      <c r="F5" s="6" t="n">
        <v>30</v>
      </c>
      <c r="G5" s="6" t="inlineStr">
        <is>
          <t>B</t>
        </is>
      </c>
      <c r="H5" s="6" t="n">
        <v>1</v>
      </c>
      <c r="I5" s="6" t="inlineStr">
        <is>
          <t>medium</t>
        </is>
      </c>
    </row>
    <row r="6">
      <c r="A6" s="6" t="inlineStr">
        <is>
          <t>S01</t>
        </is>
      </c>
      <c r="B6" s="6" t="inlineStr">
        <is>
          <t>2026-10-20</t>
        </is>
      </c>
      <c r="C6" s="6" t="inlineStr">
        <is>
          <t>Moorland Refining</t>
        </is>
      </c>
      <c r="D6" s="6" t="n">
        <v>94</v>
      </c>
      <c r="E6" s="6" t="n">
        <v>30</v>
      </c>
      <c r="F6" s="6" t="n">
        <v>28.2</v>
      </c>
      <c r="G6" s="6" t="inlineStr">
        <is>
          <t>B</t>
        </is>
      </c>
      <c r="H6" s="6" t="n">
        <v>1</v>
      </c>
      <c r="I6" s="6" t="inlineStr">
        <is>
          <t>medium</t>
        </is>
      </c>
    </row>
    <row r="7">
      <c r="A7" s="6" t="inlineStr">
        <is>
          <t>S01</t>
        </is>
      </c>
      <c r="B7" s="6" t="inlineStr">
        <is>
          <t>2026-10-20</t>
        </is>
      </c>
      <c r="C7" s="6" t="inlineStr">
        <is>
          <t>Juniper Fuels</t>
        </is>
      </c>
      <c r="D7" s="6" t="n">
        <v>50</v>
      </c>
      <c r="E7" s="6" t="n">
        <v>50</v>
      </c>
      <c r="F7" s="6" t="n">
        <v>25</v>
      </c>
      <c r="G7" s="6" t="inlineStr">
        <is>
          <t>B</t>
        </is>
      </c>
      <c r="H7" s="6" t="n">
        <v>1</v>
      </c>
      <c r="I7" s="6" t="inlineStr">
        <is>
          <t>low</t>
        </is>
      </c>
    </row>
    <row r="8">
      <c r="A8" s="6" t="inlineStr">
        <is>
          <t>S01</t>
        </is>
      </c>
      <c r="B8" s="6" t="inlineStr">
        <is>
          <t>2026-10-20</t>
        </is>
      </c>
      <c r="C8" s="6" t="inlineStr">
        <is>
          <t>Newhaven Petrochem</t>
        </is>
      </c>
      <c r="D8" s="6" t="n">
        <v>75</v>
      </c>
      <c r="E8" s="6" t="n">
        <v>22.5</v>
      </c>
      <c r="F8" s="6" t="n">
        <v>16.9</v>
      </c>
      <c r="G8" s="6" t="inlineStr">
        <is>
          <t>C</t>
        </is>
      </c>
      <c r="H8" s="6" t="n">
        <v>1</v>
      </c>
      <c r="I8" s="6" t="inlineStr">
        <is>
          <t>medium</t>
        </is>
      </c>
    </row>
    <row r="9">
      <c r="A9" s="6" t="inlineStr">
        <is>
          <t>S01</t>
        </is>
      </c>
      <c r="B9" s="6" t="inlineStr">
        <is>
          <t>2026-10-20</t>
        </is>
      </c>
      <c r="C9" s="6" t="inlineStr">
        <is>
          <t>Eastgate Refining</t>
        </is>
      </c>
      <c r="D9" s="6" t="n">
        <v>100</v>
      </c>
      <c r="E9" s="6" t="n">
        <v>15</v>
      </c>
      <c r="F9" s="6" t="n">
        <v>15</v>
      </c>
      <c r="G9" s="6" t="inlineStr">
        <is>
          <t>C</t>
        </is>
      </c>
      <c r="H9" s="6" t="n">
        <v>1</v>
      </c>
      <c r="I9" s="6" t="inlineStr">
        <is>
          <t>medium</t>
        </is>
      </c>
    </row>
    <row r="10">
      <c r="A10" s="6" t="inlineStr">
        <is>
          <t>S01</t>
        </is>
      </c>
      <c r="B10" s="6" t="inlineStr">
        <is>
          <t>2026-10-20</t>
        </is>
      </c>
      <c r="C10" s="6" t="inlineStr">
        <is>
          <t>Fairhaven Refining</t>
        </is>
      </c>
      <c r="D10" s="6" t="n">
        <v>100</v>
      </c>
      <c r="E10" s="6" t="n">
        <v>0</v>
      </c>
      <c r="F10" s="6" t="n">
        <v>0</v>
      </c>
      <c r="G10" s="6" t="inlineStr">
        <is>
          <t>Watch list</t>
        </is>
      </c>
      <c r="H10" s="6" t="n">
        <v>0</v>
      </c>
      <c r="I10" s="6" t="inlineStr">
        <is>
          <t>medium</t>
        </is>
      </c>
    </row>
    <row r="11">
      <c r="A11" s="6" t="inlineStr">
        <is>
          <t>S01</t>
        </is>
      </c>
      <c r="B11" s="6" t="inlineStr">
        <is>
          <t>2026-10-20</t>
        </is>
      </c>
      <c r="C11" s="6" t="inlineStr">
        <is>
          <t>Stonegate Refining</t>
        </is>
      </c>
      <c r="D11" s="6" t="n">
        <v>100</v>
      </c>
      <c r="E11" s="6" t="n">
        <v>0</v>
      </c>
      <c r="F11" s="6" t="n">
        <v>0</v>
      </c>
      <c r="G11" s="6" t="inlineStr">
        <is>
          <t>Watch list</t>
        </is>
      </c>
      <c r="H11" s="6" t="n">
        <v>0</v>
      </c>
      <c r="I11" s="6" t="inlineStr">
        <is>
          <t>medium</t>
        </is>
      </c>
    </row>
    <row r="12">
      <c r="A12" s="6" t="inlineStr">
        <is>
          <t>S01</t>
        </is>
      </c>
      <c r="B12" s="6" t="inlineStr">
        <is>
          <t>2026-10-20</t>
        </is>
      </c>
      <c r="C12" s="6" t="inlineStr">
        <is>
          <t>Larkspur Refining</t>
        </is>
      </c>
      <c r="D12" s="6" t="n">
        <v>97</v>
      </c>
      <c r="E12" s="6" t="n">
        <v>0</v>
      </c>
      <c r="F12" s="6" t="n">
        <v>0</v>
      </c>
      <c r="G12" s="6" t="inlineStr">
        <is>
          <t>Watch list</t>
        </is>
      </c>
      <c r="H12" s="6" t="n">
        <v>0</v>
      </c>
      <c r="I12" s="6" t="inlineStr">
        <is>
          <t>low</t>
        </is>
      </c>
    </row>
    <row r="13">
      <c r="A13" s="6" t="inlineStr">
        <is>
          <t>S01</t>
        </is>
      </c>
      <c r="B13" s="6" t="inlineStr">
        <is>
          <t>2026-10-20</t>
        </is>
      </c>
      <c r="C13" s="6" t="inlineStr">
        <is>
          <t>Rosewood Refining</t>
        </is>
      </c>
      <c r="D13" s="6" t="n">
        <v>97</v>
      </c>
      <c r="E13" s="6" t="n">
        <v>0</v>
      </c>
      <c r="F13" s="6" t="n">
        <v>0</v>
      </c>
      <c r="G13" s="6" t="inlineStr">
        <is>
          <t>Watch list</t>
        </is>
      </c>
      <c r="H13" s="6" t="n">
        <v>0</v>
      </c>
      <c r="I13" s="6" t="inlineStr">
        <is>
          <t>low</t>
        </is>
      </c>
    </row>
    <row r="14">
      <c r="A14" s="6" t="inlineStr">
        <is>
          <t>S01</t>
        </is>
      </c>
      <c r="B14" s="6" t="inlineStr">
        <is>
          <t>2026-10-20</t>
        </is>
      </c>
      <c r="C14" s="6" t="inlineStr">
        <is>
          <t>Quarry Hill Engineering</t>
        </is>
      </c>
      <c r="D14" s="6" t="n">
        <v>96</v>
      </c>
      <c r="E14" s="6" t="n">
        <v>0</v>
      </c>
      <c r="F14" s="6" t="n">
        <v>0</v>
      </c>
      <c r="G14" s="6" t="inlineStr">
        <is>
          <t>Watch list</t>
        </is>
      </c>
      <c r="H14" s="6" t="n">
        <v>0</v>
      </c>
      <c r="I14" s="6" t="inlineStr">
        <is>
          <t>medium</t>
        </is>
      </c>
    </row>
    <row r="15">
      <c r="A15" s="6" t="inlineStr">
        <is>
          <t>S01</t>
        </is>
      </c>
      <c r="B15" s="6" t="inlineStr">
        <is>
          <t>2026-10-20</t>
        </is>
      </c>
      <c r="C15" s="6" t="inlineStr">
        <is>
          <t>Pebblebrook Refining</t>
        </is>
      </c>
      <c r="D15" s="6" t="n">
        <v>85</v>
      </c>
      <c r="E15" s="6" t="n">
        <v>0</v>
      </c>
      <c r="F15" s="6" t="n">
        <v>0</v>
      </c>
      <c r="G15" s="6" t="inlineStr">
        <is>
          <t>Watch list</t>
        </is>
      </c>
      <c r="H15" s="6" t="n">
        <v>0</v>
      </c>
      <c r="I15" s="6" t="inlineStr">
        <is>
          <t>medium</t>
        </is>
      </c>
    </row>
    <row r="16">
      <c r="A16" s="6" t="inlineStr">
        <is>
          <t>S01</t>
        </is>
      </c>
      <c r="B16" s="6" t="inlineStr">
        <is>
          <t>2026-10-20</t>
        </is>
      </c>
      <c r="C16" s="6" t="inlineStr">
        <is>
          <t>Oakridge Water</t>
        </is>
      </c>
      <c r="D16" s="6" t="n">
        <v>60</v>
      </c>
      <c r="E16" s="6" t="n">
        <v>0</v>
      </c>
      <c r="F16" s="6" t="n">
        <v>0</v>
      </c>
      <c r="G16" s="6" t="inlineStr">
        <is>
          <t>Watch list</t>
        </is>
      </c>
      <c r="H16" s="6" t="n">
        <v>0</v>
      </c>
      <c r="I16" s="6" t="inlineStr">
        <is>
          <t>medium</t>
        </is>
      </c>
    </row>
    <row r="17">
      <c r="A17" s="6" t="inlineStr">
        <is>
          <t>S01</t>
        </is>
      </c>
      <c r="B17" s="6" t="inlineStr">
        <is>
          <t>2026-10-20</t>
        </is>
      </c>
      <c r="C17" s="6" t="inlineStr">
        <is>
          <t>Kingsbridge Fuels</t>
        </is>
      </c>
      <c r="D17" s="6" t="n">
        <v>49</v>
      </c>
      <c r="E17" s="6" t="inlineStr"/>
      <c r="F17" s="6" t="inlineStr"/>
      <c r="G17" s="6" t="inlineStr">
        <is>
          <t>Below fit floor</t>
        </is>
      </c>
      <c r="H17" s="6" t="n">
        <v>0</v>
      </c>
      <c r="I17" s="6" t="inlineStr"/>
    </row>
    <row r="18">
      <c r="A18" s="6" t="inlineStr">
        <is>
          <t>S01</t>
        </is>
      </c>
      <c r="B18" s="6" t="inlineStr">
        <is>
          <t>2026-10-20</t>
        </is>
      </c>
      <c r="C18" s="6" t="inlineStr">
        <is>
          <t>Tidewater Refining</t>
        </is>
      </c>
      <c r="D18" s="6" t="inlineStr"/>
      <c r="E18" s="6" t="inlineStr"/>
      <c r="F18" s="6" t="inlineStr"/>
      <c r="G18" s="6" t="inlineStr">
        <is>
          <t>Excluded</t>
        </is>
      </c>
      <c r="H18" s="6" t="n">
        <v>0</v>
      </c>
      <c r="I18" s="6" t="inlineStr">
        <is>
          <t>Outside the pilot region (Australia)</t>
        </is>
      </c>
    </row>
    <row r="19">
      <c r="A19" s="6" t="inlineStr">
        <is>
          <t>S01</t>
        </is>
      </c>
      <c r="B19" s="6" t="inlineStr">
        <is>
          <t>2026-12-20</t>
        </is>
      </c>
      <c r="C19" s="6" t="inlineStr">
        <is>
          <t>Bayfront Refining</t>
        </is>
      </c>
      <c r="D19" s="6" t="n">
        <v>100</v>
      </c>
      <c r="E19" s="6" t="n">
        <v>50</v>
      </c>
      <c r="F19" s="6" t="n">
        <v>50</v>
      </c>
      <c r="G19" s="6" t="inlineStr">
        <is>
          <t>A</t>
        </is>
      </c>
      <c r="H19" s="6" t="n">
        <v>1</v>
      </c>
      <c r="I19" s="6" t="inlineStr">
        <is>
          <t>medium</t>
        </is>
      </c>
    </row>
    <row r="20">
      <c r="A20" s="6" t="inlineStr">
        <is>
          <t>S01</t>
        </is>
      </c>
      <c r="B20" s="6" t="inlineStr">
        <is>
          <t>2026-12-20</t>
        </is>
      </c>
      <c r="C20" s="6" t="inlineStr">
        <is>
          <t>Coldwater Refining</t>
        </is>
      </c>
      <c r="D20" s="6" t="n">
        <v>100</v>
      </c>
      <c r="E20" s="6" t="n">
        <v>38.4</v>
      </c>
      <c r="F20" s="6" t="n">
        <v>38.4</v>
      </c>
      <c r="G20" s="6" t="inlineStr">
        <is>
          <t>A</t>
        </is>
      </c>
      <c r="H20" s="6" t="n">
        <v>1</v>
      </c>
      <c r="I20" s="6" t="inlineStr">
        <is>
          <t>medium</t>
        </is>
      </c>
    </row>
    <row r="21">
      <c r="A21" s="6" t="inlineStr">
        <is>
          <t>S01</t>
        </is>
      </c>
      <c r="B21" s="6" t="inlineStr">
        <is>
          <t>2026-12-20</t>
        </is>
      </c>
      <c r="C21" s="6" t="inlineStr">
        <is>
          <t>Moorland Refining</t>
        </is>
      </c>
      <c r="D21" s="6" t="n">
        <v>94</v>
      </c>
      <c r="E21" s="6" t="n">
        <v>29.7</v>
      </c>
      <c r="F21" s="6" t="n">
        <v>27.9</v>
      </c>
      <c r="G21" s="6" t="inlineStr">
        <is>
          <t>B</t>
        </is>
      </c>
      <c r="H21" s="6" t="n">
        <v>1</v>
      </c>
      <c r="I21" s="6" t="inlineStr">
        <is>
          <t>medium</t>
        </is>
      </c>
    </row>
    <row r="22">
      <c r="A22" s="6" t="inlineStr">
        <is>
          <t>S01</t>
        </is>
      </c>
      <c r="B22" s="6" t="inlineStr">
        <is>
          <t>2026-12-20</t>
        </is>
      </c>
      <c r="C22" s="6" t="inlineStr">
        <is>
          <t>Driftwood Refining</t>
        </is>
      </c>
      <c r="D22" s="6" t="n">
        <v>100</v>
      </c>
      <c r="E22" s="6" t="n">
        <v>21.8</v>
      </c>
      <c r="F22" s="6" t="n">
        <v>21.8</v>
      </c>
      <c r="G22" s="6" t="inlineStr">
        <is>
          <t>B</t>
        </is>
      </c>
      <c r="H22" s="6" t="n">
        <v>1</v>
      </c>
      <c r="I22" s="6" t="inlineStr">
        <is>
          <t>medium</t>
        </is>
      </c>
    </row>
    <row r="23">
      <c r="A23" s="6" t="inlineStr">
        <is>
          <t>S01</t>
        </is>
      </c>
      <c r="B23" s="6" t="inlineStr">
        <is>
          <t>2026-12-20</t>
        </is>
      </c>
      <c r="C23" s="6" t="inlineStr">
        <is>
          <t>Apex Refining</t>
        </is>
      </c>
      <c r="D23" s="6" t="n">
        <v>100</v>
      </c>
      <c r="E23" s="6" t="n">
        <v>20</v>
      </c>
      <c r="F23" s="6" t="n">
        <v>20</v>
      </c>
      <c r="G23" s="6" t="inlineStr">
        <is>
          <t>B</t>
        </is>
      </c>
      <c r="H23" s="6" t="n">
        <v>1</v>
      </c>
      <c r="I23" s="6" t="inlineStr">
        <is>
          <t>medium</t>
        </is>
      </c>
    </row>
    <row r="24">
      <c r="A24" s="6" t="inlineStr">
        <is>
          <t>S01</t>
        </is>
      </c>
      <c r="B24" s="6" t="inlineStr">
        <is>
          <t>2026-12-20</t>
        </is>
      </c>
      <c r="C24" s="6" t="inlineStr">
        <is>
          <t>Juniper Fuels</t>
        </is>
      </c>
      <c r="D24" s="6" t="n">
        <v>50</v>
      </c>
      <c r="E24" s="6" t="n">
        <v>20</v>
      </c>
      <c r="F24" s="6" t="n">
        <v>10</v>
      </c>
      <c r="G24" s="6" t="inlineStr">
        <is>
          <t>C</t>
        </is>
      </c>
      <c r="H24" s="6" t="n">
        <v>1</v>
      </c>
      <c r="I24" s="6" t="inlineStr">
        <is>
          <t>low</t>
        </is>
      </c>
    </row>
    <row r="25">
      <c r="A25" s="6" t="inlineStr">
        <is>
          <t>S01</t>
        </is>
      </c>
      <c r="B25" s="6" t="inlineStr">
        <is>
          <t>2026-12-20</t>
        </is>
      </c>
      <c r="C25" s="6" t="inlineStr">
        <is>
          <t>Newhaven Petrochem</t>
        </is>
      </c>
      <c r="D25" s="6" t="n">
        <v>75</v>
      </c>
      <c r="E25" s="6" t="n">
        <v>12.2</v>
      </c>
      <c r="F25" s="6" t="n">
        <v>9.199999999999999</v>
      </c>
      <c r="G25" s="6" t="inlineStr">
        <is>
          <t>C</t>
        </is>
      </c>
      <c r="H25" s="6" t="n">
        <v>1</v>
      </c>
      <c r="I25" s="6" t="inlineStr">
        <is>
          <t>medium</t>
        </is>
      </c>
    </row>
    <row r="26">
      <c r="A26" s="6" t="inlineStr">
        <is>
          <t>S01</t>
        </is>
      </c>
      <c r="B26" s="6" t="inlineStr">
        <is>
          <t>2026-12-20</t>
        </is>
      </c>
      <c r="C26" s="6" t="inlineStr">
        <is>
          <t>Eastgate Refining</t>
        </is>
      </c>
      <c r="D26" s="6" t="n">
        <v>100</v>
      </c>
      <c r="E26" s="6" t="n">
        <v>0</v>
      </c>
      <c r="F26" s="6" t="n">
        <v>0</v>
      </c>
      <c r="G26" s="6" t="inlineStr">
        <is>
          <t>Watch list</t>
        </is>
      </c>
      <c r="H26" s="6" t="n">
        <v>0</v>
      </c>
      <c r="I26" s="6" t="inlineStr">
        <is>
          <t>medium</t>
        </is>
      </c>
    </row>
    <row r="27">
      <c r="A27" s="6" t="inlineStr">
        <is>
          <t>S01</t>
        </is>
      </c>
      <c r="B27" s="6" t="inlineStr">
        <is>
          <t>2026-12-20</t>
        </is>
      </c>
      <c r="C27" s="6" t="inlineStr">
        <is>
          <t>Fairhaven Refining</t>
        </is>
      </c>
      <c r="D27" s="6" t="n">
        <v>100</v>
      </c>
      <c r="E27" s="6" t="n">
        <v>0</v>
      </c>
      <c r="F27" s="6" t="n">
        <v>0</v>
      </c>
      <c r="G27" s="6" t="inlineStr">
        <is>
          <t>Watch list</t>
        </is>
      </c>
      <c r="H27" s="6" t="n">
        <v>0</v>
      </c>
      <c r="I27" s="6" t="inlineStr">
        <is>
          <t>medium</t>
        </is>
      </c>
    </row>
    <row r="28">
      <c r="A28" s="6" t="inlineStr">
        <is>
          <t>S01</t>
        </is>
      </c>
      <c r="B28" s="6" t="inlineStr">
        <is>
          <t>2026-12-20</t>
        </is>
      </c>
      <c r="C28" s="6" t="inlineStr">
        <is>
          <t>Stonegate Refining</t>
        </is>
      </c>
      <c r="D28" s="6" t="n">
        <v>100</v>
      </c>
      <c r="E28" s="6" t="n">
        <v>0</v>
      </c>
      <c r="F28" s="6" t="n">
        <v>0</v>
      </c>
      <c r="G28" s="6" t="inlineStr">
        <is>
          <t>Watch list</t>
        </is>
      </c>
      <c r="H28" s="6" t="n">
        <v>0</v>
      </c>
      <c r="I28" s="6" t="inlineStr">
        <is>
          <t>medium</t>
        </is>
      </c>
    </row>
    <row r="29">
      <c r="A29" s="6" t="inlineStr">
        <is>
          <t>S01</t>
        </is>
      </c>
      <c r="B29" s="6" t="inlineStr">
        <is>
          <t>2026-12-20</t>
        </is>
      </c>
      <c r="C29" s="6" t="inlineStr">
        <is>
          <t>Larkspur Refining</t>
        </is>
      </c>
      <c r="D29" s="6" t="n">
        <v>97</v>
      </c>
      <c r="E29" s="6" t="n">
        <v>0</v>
      </c>
      <c r="F29" s="6" t="n">
        <v>0</v>
      </c>
      <c r="G29" s="6" t="inlineStr">
        <is>
          <t>Watch list</t>
        </is>
      </c>
      <c r="H29" s="6" t="n">
        <v>0</v>
      </c>
      <c r="I29" s="6" t="inlineStr">
        <is>
          <t>low</t>
        </is>
      </c>
    </row>
    <row r="30">
      <c r="A30" s="6" t="inlineStr">
        <is>
          <t>S01</t>
        </is>
      </c>
      <c r="B30" s="6" t="inlineStr">
        <is>
          <t>2026-12-20</t>
        </is>
      </c>
      <c r="C30" s="6" t="inlineStr">
        <is>
          <t>Rosewood Refining</t>
        </is>
      </c>
      <c r="D30" s="6" t="n">
        <v>97</v>
      </c>
      <c r="E30" s="6" t="n">
        <v>0</v>
      </c>
      <c r="F30" s="6" t="n">
        <v>0</v>
      </c>
      <c r="G30" s="6" t="inlineStr">
        <is>
          <t>Watch list</t>
        </is>
      </c>
      <c r="H30" s="6" t="n">
        <v>0</v>
      </c>
      <c r="I30" s="6" t="inlineStr">
        <is>
          <t>low</t>
        </is>
      </c>
    </row>
    <row r="31">
      <c r="A31" s="6" t="inlineStr">
        <is>
          <t>S01</t>
        </is>
      </c>
      <c r="B31" s="6" t="inlineStr">
        <is>
          <t>2026-12-20</t>
        </is>
      </c>
      <c r="C31" s="6" t="inlineStr">
        <is>
          <t>Quarry Hill Engineering</t>
        </is>
      </c>
      <c r="D31" s="6" t="n">
        <v>96</v>
      </c>
      <c r="E31" s="6" t="n">
        <v>0</v>
      </c>
      <c r="F31" s="6" t="n">
        <v>0</v>
      </c>
      <c r="G31" s="6" t="inlineStr">
        <is>
          <t>Watch list</t>
        </is>
      </c>
      <c r="H31" s="6" t="n">
        <v>0</v>
      </c>
      <c r="I31" s="6" t="inlineStr">
        <is>
          <t>medium</t>
        </is>
      </c>
    </row>
    <row r="32">
      <c r="A32" s="6" t="inlineStr">
        <is>
          <t>S01</t>
        </is>
      </c>
      <c r="B32" s="6" t="inlineStr">
        <is>
          <t>2026-12-20</t>
        </is>
      </c>
      <c r="C32" s="6" t="inlineStr">
        <is>
          <t>Pebblebrook Refining</t>
        </is>
      </c>
      <c r="D32" s="6" t="n">
        <v>85</v>
      </c>
      <c r="E32" s="6" t="n">
        <v>0</v>
      </c>
      <c r="F32" s="6" t="n">
        <v>0</v>
      </c>
      <c r="G32" s="6" t="inlineStr">
        <is>
          <t>Watch list</t>
        </is>
      </c>
      <c r="H32" s="6" t="n">
        <v>0</v>
      </c>
      <c r="I32" s="6" t="inlineStr">
        <is>
          <t>medium</t>
        </is>
      </c>
    </row>
    <row r="33">
      <c r="A33" s="6" t="inlineStr">
        <is>
          <t>S01</t>
        </is>
      </c>
      <c r="B33" s="6" t="inlineStr">
        <is>
          <t>2026-12-20</t>
        </is>
      </c>
      <c r="C33" s="6" t="inlineStr">
        <is>
          <t>Oakridge Water</t>
        </is>
      </c>
      <c r="D33" s="6" t="n">
        <v>60</v>
      </c>
      <c r="E33" s="6" t="n">
        <v>0</v>
      </c>
      <c r="F33" s="6" t="n">
        <v>0</v>
      </c>
      <c r="G33" s="6" t="inlineStr">
        <is>
          <t>Watch list</t>
        </is>
      </c>
      <c r="H33" s="6" t="n">
        <v>0</v>
      </c>
      <c r="I33" s="6" t="inlineStr">
        <is>
          <t>medium</t>
        </is>
      </c>
    </row>
    <row r="34">
      <c r="A34" s="6" t="inlineStr">
        <is>
          <t>S01</t>
        </is>
      </c>
      <c r="B34" s="6" t="inlineStr">
        <is>
          <t>2026-12-20</t>
        </is>
      </c>
      <c r="C34" s="6" t="inlineStr">
        <is>
          <t>Kingsbridge Fuels</t>
        </is>
      </c>
      <c r="D34" s="6" t="n">
        <v>49</v>
      </c>
      <c r="E34" s="6" t="inlineStr"/>
      <c r="F34" s="6" t="inlineStr"/>
      <c r="G34" s="6" t="inlineStr">
        <is>
          <t>Below fit floor</t>
        </is>
      </c>
      <c r="H34" s="6" t="n">
        <v>0</v>
      </c>
      <c r="I34" s="6" t="inlineStr"/>
    </row>
    <row r="35">
      <c r="A35" s="6" t="inlineStr">
        <is>
          <t>S01</t>
        </is>
      </c>
      <c r="B35" s="6" t="inlineStr">
        <is>
          <t>2026-12-20</t>
        </is>
      </c>
      <c r="C35" s="6" t="inlineStr">
        <is>
          <t>Tidewater Refining</t>
        </is>
      </c>
      <c r="D35" s="6" t="inlineStr"/>
      <c r="E35" s="6" t="inlineStr"/>
      <c r="F35" s="6" t="inlineStr"/>
      <c r="G35" s="6" t="inlineStr">
        <is>
          <t>Excluded</t>
        </is>
      </c>
      <c r="H35" s="6" t="n">
        <v>0</v>
      </c>
      <c r="I35" s="6" t="inlineStr">
        <is>
          <t>Outside the pilot region (Australia)</t>
        </is>
      </c>
    </row>
    <row r="36">
      <c r="A36" s="6" t="inlineStr">
        <is>
          <t>S01</t>
        </is>
      </c>
      <c r="B36" s="6" t="inlineStr">
        <is>
          <t>2027-04-20</t>
        </is>
      </c>
      <c r="C36" s="6" t="inlineStr">
        <is>
          <t>Bayfront Refining</t>
        </is>
      </c>
      <c r="D36" s="6" t="n">
        <v>100</v>
      </c>
      <c r="E36" s="6" t="n">
        <v>50</v>
      </c>
      <c r="F36" s="6" t="n">
        <v>50</v>
      </c>
      <c r="G36" s="6" t="inlineStr">
        <is>
          <t>A</t>
        </is>
      </c>
      <c r="H36" s="6" t="n">
        <v>1</v>
      </c>
      <c r="I36" s="6" t="inlineStr">
        <is>
          <t>medium</t>
        </is>
      </c>
    </row>
    <row r="37">
      <c r="A37" s="6" t="inlineStr">
        <is>
          <t>S01</t>
        </is>
      </c>
      <c r="B37" s="6" t="inlineStr">
        <is>
          <t>2027-04-20</t>
        </is>
      </c>
      <c r="C37" s="6" t="inlineStr">
        <is>
          <t>Coldwater Refining</t>
        </is>
      </c>
      <c r="D37" s="6" t="n">
        <v>100</v>
      </c>
      <c r="E37" s="6" t="n">
        <v>20.8</v>
      </c>
      <c r="F37" s="6" t="n">
        <v>20.8</v>
      </c>
      <c r="G37" s="6" t="inlineStr">
        <is>
          <t>B</t>
        </is>
      </c>
      <c r="H37" s="6" t="n">
        <v>1</v>
      </c>
      <c r="I37" s="6" t="inlineStr">
        <is>
          <t>medium</t>
        </is>
      </c>
    </row>
    <row r="38">
      <c r="A38" s="6" t="inlineStr">
        <is>
          <t>S01</t>
        </is>
      </c>
      <c r="B38" s="6" t="inlineStr">
        <is>
          <t>2027-04-20</t>
        </is>
      </c>
      <c r="C38" s="6" t="inlineStr">
        <is>
          <t>Apex Refining</t>
        </is>
      </c>
      <c r="D38" s="6" t="n">
        <v>100</v>
      </c>
      <c r="E38" s="6" t="n">
        <v>0</v>
      </c>
      <c r="F38" s="6" t="n">
        <v>0</v>
      </c>
      <c r="G38" s="6" t="inlineStr">
        <is>
          <t>Watch list</t>
        </is>
      </c>
      <c r="H38" s="6" t="n">
        <v>0</v>
      </c>
      <c r="I38" s="6" t="inlineStr">
        <is>
          <t>medium</t>
        </is>
      </c>
    </row>
    <row r="39">
      <c r="A39" s="6" t="inlineStr">
        <is>
          <t>S01</t>
        </is>
      </c>
      <c r="B39" s="6" t="inlineStr">
        <is>
          <t>2027-04-20</t>
        </is>
      </c>
      <c r="C39" s="6" t="inlineStr">
        <is>
          <t>Driftwood Refining</t>
        </is>
      </c>
      <c r="D39" s="6" t="n">
        <v>100</v>
      </c>
      <c r="E39" s="6" t="n">
        <v>0</v>
      </c>
      <c r="F39" s="6" t="n">
        <v>0</v>
      </c>
      <c r="G39" s="6" t="inlineStr">
        <is>
          <t>Watch list</t>
        </is>
      </c>
      <c r="H39" s="6" t="n">
        <v>0</v>
      </c>
      <c r="I39" s="6" t="inlineStr">
        <is>
          <t>medium</t>
        </is>
      </c>
    </row>
    <row r="40">
      <c r="A40" s="6" t="inlineStr">
        <is>
          <t>S01</t>
        </is>
      </c>
      <c r="B40" s="6" t="inlineStr">
        <is>
          <t>2027-04-20</t>
        </is>
      </c>
      <c r="C40" s="6" t="inlineStr">
        <is>
          <t>Eastgate Refining</t>
        </is>
      </c>
      <c r="D40" s="6" t="n">
        <v>100</v>
      </c>
      <c r="E40" s="6" t="n">
        <v>0</v>
      </c>
      <c r="F40" s="6" t="n">
        <v>0</v>
      </c>
      <c r="G40" s="6" t="inlineStr">
        <is>
          <t>Watch list</t>
        </is>
      </c>
      <c r="H40" s="6" t="n">
        <v>0</v>
      </c>
      <c r="I40" s="6" t="inlineStr">
        <is>
          <t>medium</t>
        </is>
      </c>
    </row>
    <row r="41">
      <c r="A41" s="6" t="inlineStr">
        <is>
          <t>S01</t>
        </is>
      </c>
      <c r="B41" s="6" t="inlineStr">
        <is>
          <t>2027-04-20</t>
        </is>
      </c>
      <c r="C41" s="6" t="inlineStr">
        <is>
          <t>Fairhaven Refining</t>
        </is>
      </c>
      <c r="D41" s="6" t="n">
        <v>100</v>
      </c>
      <c r="E41" s="6" t="n">
        <v>0</v>
      </c>
      <c r="F41" s="6" t="n">
        <v>0</v>
      </c>
      <c r="G41" s="6" t="inlineStr">
        <is>
          <t>Watch list</t>
        </is>
      </c>
      <c r="H41" s="6" t="n">
        <v>0</v>
      </c>
      <c r="I41" s="6" t="inlineStr">
        <is>
          <t>medium</t>
        </is>
      </c>
    </row>
    <row r="42">
      <c r="A42" s="6" t="inlineStr">
        <is>
          <t>S01</t>
        </is>
      </c>
      <c r="B42" s="6" t="inlineStr">
        <is>
          <t>2027-04-20</t>
        </is>
      </c>
      <c r="C42" s="6" t="inlineStr">
        <is>
          <t>Stonegate Refining</t>
        </is>
      </c>
      <c r="D42" s="6" t="n">
        <v>100</v>
      </c>
      <c r="E42" s="6" t="n">
        <v>0</v>
      </c>
      <c r="F42" s="6" t="n">
        <v>0</v>
      </c>
      <c r="G42" s="6" t="inlineStr">
        <is>
          <t>Watch list</t>
        </is>
      </c>
      <c r="H42" s="6" t="n">
        <v>0</v>
      </c>
      <c r="I42" s="6" t="inlineStr">
        <is>
          <t>medium</t>
        </is>
      </c>
    </row>
    <row r="43">
      <c r="A43" s="6" t="inlineStr">
        <is>
          <t>S01</t>
        </is>
      </c>
      <c r="B43" s="6" t="inlineStr">
        <is>
          <t>2027-04-20</t>
        </is>
      </c>
      <c r="C43" s="6" t="inlineStr">
        <is>
          <t>Larkspur Refining</t>
        </is>
      </c>
      <c r="D43" s="6" t="n">
        <v>97</v>
      </c>
      <c r="E43" s="6" t="n">
        <v>0</v>
      </c>
      <c r="F43" s="6" t="n">
        <v>0</v>
      </c>
      <c r="G43" s="6" t="inlineStr">
        <is>
          <t>Watch list</t>
        </is>
      </c>
      <c r="H43" s="6" t="n">
        <v>0</v>
      </c>
      <c r="I43" s="6" t="inlineStr">
        <is>
          <t>low</t>
        </is>
      </c>
    </row>
    <row r="44">
      <c r="A44" s="6" t="inlineStr">
        <is>
          <t>S01</t>
        </is>
      </c>
      <c r="B44" s="6" t="inlineStr">
        <is>
          <t>2027-04-20</t>
        </is>
      </c>
      <c r="C44" s="6" t="inlineStr">
        <is>
          <t>Rosewood Refining</t>
        </is>
      </c>
      <c r="D44" s="6" t="n">
        <v>97</v>
      </c>
      <c r="E44" s="6" t="n">
        <v>0</v>
      </c>
      <c r="F44" s="6" t="n">
        <v>0</v>
      </c>
      <c r="G44" s="6" t="inlineStr">
        <is>
          <t>Watch list</t>
        </is>
      </c>
      <c r="H44" s="6" t="n">
        <v>0</v>
      </c>
      <c r="I44" s="6" t="inlineStr">
        <is>
          <t>low</t>
        </is>
      </c>
    </row>
    <row r="45">
      <c r="A45" s="6" t="inlineStr">
        <is>
          <t>S01</t>
        </is>
      </c>
      <c r="B45" s="6" t="inlineStr">
        <is>
          <t>2027-04-20</t>
        </is>
      </c>
      <c r="C45" s="6" t="inlineStr">
        <is>
          <t>Quarry Hill Engineering</t>
        </is>
      </c>
      <c r="D45" s="6" t="n">
        <v>96</v>
      </c>
      <c r="E45" s="6" t="n">
        <v>0</v>
      </c>
      <c r="F45" s="6" t="n">
        <v>0</v>
      </c>
      <c r="G45" s="6" t="inlineStr">
        <is>
          <t>Watch list</t>
        </is>
      </c>
      <c r="H45" s="6" t="n">
        <v>0</v>
      </c>
      <c r="I45" s="6" t="inlineStr">
        <is>
          <t>medium</t>
        </is>
      </c>
    </row>
    <row r="46">
      <c r="A46" s="6" t="inlineStr">
        <is>
          <t>S01</t>
        </is>
      </c>
      <c r="B46" s="6" t="inlineStr">
        <is>
          <t>2027-04-20</t>
        </is>
      </c>
      <c r="C46" s="6" t="inlineStr">
        <is>
          <t>Moorland Refining</t>
        </is>
      </c>
      <c r="D46" s="6" t="n">
        <v>94</v>
      </c>
      <c r="E46" s="6" t="n">
        <v>0</v>
      </c>
      <c r="F46" s="6" t="n">
        <v>0</v>
      </c>
      <c r="G46" s="6" t="inlineStr">
        <is>
          <t>Watch list</t>
        </is>
      </c>
      <c r="H46" s="6" t="n">
        <v>0</v>
      </c>
      <c r="I46" s="6" t="inlineStr">
        <is>
          <t>medium</t>
        </is>
      </c>
    </row>
    <row r="47">
      <c r="A47" s="6" t="inlineStr">
        <is>
          <t>S01</t>
        </is>
      </c>
      <c r="B47" s="6" t="inlineStr">
        <is>
          <t>2027-04-20</t>
        </is>
      </c>
      <c r="C47" s="6" t="inlineStr">
        <is>
          <t>Pebblebrook Refining</t>
        </is>
      </c>
      <c r="D47" s="6" t="n">
        <v>85</v>
      </c>
      <c r="E47" s="6" t="n">
        <v>0</v>
      </c>
      <c r="F47" s="6" t="n">
        <v>0</v>
      </c>
      <c r="G47" s="6" t="inlineStr">
        <is>
          <t>Watch list</t>
        </is>
      </c>
      <c r="H47" s="6" t="n">
        <v>0</v>
      </c>
      <c r="I47" s="6" t="inlineStr">
        <is>
          <t>medium</t>
        </is>
      </c>
    </row>
    <row r="48">
      <c r="A48" s="6" t="inlineStr">
        <is>
          <t>S01</t>
        </is>
      </c>
      <c r="B48" s="6" t="inlineStr">
        <is>
          <t>2027-04-20</t>
        </is>
      </c>
      <c r="C48" s="6" t="inlineStr">
        <is>
          <t>Newhaven Petrochem</t>
        </is>
      </c>
      <c r="D48" s="6" t="n">
        <v>75</v>
      </c>
      <c r="E48" s="6" t="n">
        <v>0</v>
      </c>
      <c r="F48" s="6" t="n">
        <v>0</v>
      </c>
      <c r="G48" s="6" t="inlineStr">
        <is>
          <t>Watch list</t>
        </is>
      </c>
      <c r="H48" s="6" t="n">
        <v>0</v>
      </c>
      <c r="I48" s="6" t="inlineStr">
        <is>
          <t>medium</t>
        </is>
      </c>
    </row>
    <row r="49">
      <c r="A49" s="6" t="inlineStr">
        <is>
          <t>S01</t>
        </is>
      </c>
      <c r="B49" s="6" t="inlineStr">
        <is>
          <t>2027-04-20</t>
        </is>
      </c>
      <c r="C49" s="6" t="inlineStr">
        <is>
          <t>Oakridge Water</t>
        </is>
      </c>
      <c r="D49" s="6" t="n">
        <v>60</v>
      </c>
      <c r="E49" s="6" t="n">
        <v>0</v>
      </c>
      <c r="F49" s="6" t="n">
        <v>0</v>
      </c>
      <c r="G49" s="6" t="inlineStr">
        <is>
          <t>Watch list</t>
        </is>
      </c>
      <c r="H49" s="6" t="n">
        <v>0</v>
      </c>
      <c r="I49" s="6" t="inlineStr">
        <is>
          <t>medium</t>
        </is>
      </c>
    </row>
    <row r="50">
      <c r="A50" s="6" t="inlineStr">
        <is>
          <t>S01</t>
        </is>
      </c>
      <c r="B50" s="6" t="inlineStr">
        <is>
          <t>2027-04-20</t>
        </is>
      </c>
      <c r="C50" s="6" t="inlineStr">
        <is>
          <t>Juniper Fuels</t>
        </is>
      </c>
      <c r="D50" s="6" t="n">
        <v>50</v>
      </c>
      <c r="E50" s="6" t="n">
        <v>0</v>
      </c>
      <c r="F50" s="6" t="n">
        <v>0</v>
      </c>
      <c r="G50" s="6" t="inlineStr">
        <is>
          <t>Watch list</t>
        </is>
      </c>
      <c r="H50" s="6" t="n">
        <v>0</v>
      </c>
      <c r="I50" s="6" t="inlineStr">
        <is>
          <t>low</t>
        </is>
      </c>
    </row>
    <row r="51">
      <c r="A51" s="6" t="inlineStr">
        <is>
          <t>S01</t>
        </is>
      </c>
      <c r="B51" s="6" t="inlineStr">
        <is>
          <t>2027-04-20</t>
        </is>
      </c>
      <c r="C51" s="6" t="inlineStr">
        <is>
          <t>Kingsbridge Fuels</t>
        </is>
      </c>
      <c r="D51" s="6" t="n">
        <v>49</v>
      </c>
      <c r="E51" s="6" t="inlineStr"/>
      <c r="F51" s="6" t="inlineStr"/>
      <c r="G51" s="6" t="inlineStr">
        <is>
          <t>Below fit floor</t>
        </is>
      </c>
      <c r="H51" s="6" t="n">
        <v>0</v>
      </c>
      <c r="I51" s="6" t="inlineStr"/>
    </row>
    <row r="52">
      <c r="A52" s="6" t="inlineStr">
        <is>
          <t>S01</t>
        </is>
      </c>
      <c r="B52" s="6" t="inlineStr">
        <is>
          <t>2027-04-20</t>
        </is>
      </c>
      <c r="C52" s="6" t="inlineStr">
        <is>
          <t>Tidewater Refining</t>
        </is>
      </c>
      <c r="D52" s="6" t="inlineStr"/>
      <c r="E52" s="6" t="inlineStr"/>
      <c r="F52" s="6" t="inlineStr"/>
      <c r="G52" s="6" t="inlineStr">
        <is>
          <t>Excluded</t>
        </is>
      </c>
      <c r="H52" s="6" t="n">
        <v>0</v>
      </c>
      <c r="I52" s="6" t="inlineStr">
        <is>
          <t>Outside the pilot region (Australia)</t>
        </is>
      </c>
    </row>
    <row r="53">
      <c r="A53" s="4" t="inlineStr">
        <is>
          <t>S02</t>
        </is>
      </c>
      <c r="B53" s="4" t="inlineStr">
        <is>
          <t>2026-10-20</t>
        </is>
      </c>
      <c r="C53" s="4" t="inlineStr">
        <is>
          <t>Apex Refining</t>
        </is>
      </c>
      <c r="D53" s="4" t="n">
        <v>100</v>
      </c>
      <c r="E53" s="4" t="n">
        <v>50</v>
      </c>
      <c r="F53" s="4" t="n">
        <v>50</v>
      </c>
      <c r="G53" s="4" t="inlineStr">
        <is>
          <t>A</t>
        </is>
      </c>
      <c r="H53" s="4" t="n">
        <v>1</v>
      </c>
      <c r="I53" s="4" t="inlineStr">
        <is>
          <t>medium</t>
        </is>
      </c>
    </row>
    <row r="54">
      <c r="A54" s="4" t="inlineStr">
        <is>
          <t>S02</t>
        </is>
      </c>
      <c r="B54" s="4" t="inlineStr">
        <is>
          <t>2026-10-20</t>
        </is>
      </c>
      <c r="C54" s="4" t="inlineStr">
        <is>
          <t>Bayfront Refining</t>
        </is>
      </c>
      <c r="D54" s="4" t="n">
        <v>100</v>
      </c>
      <c r="E54" s="4" t="n">
        <v>35</v>
      </c>
      <c r="F54" s="4" t="n">
        <v>35</v>
      </c>
      <c r="G54" s="4" t="inlineStr">
        <is>
          <t>A</t>
        </is>
      </c>
      <c r="H54" s="4" t="n">
        <v>1</v>
      </c>
      <c r="I54" s="4" t="inlineStr">
        <is>
          <t>medium</t>
        </is>
      </c>
    </row>
    <row r="55">
      <c r="A55" s="4" t="inlineStr">
        <is>
          <t>S02</t>
        </is>
      </c>
      <c r="B55" s="4" t="inlineStr">
        <is>
          <t>2026-10-20</t>
        </is>
      </c>
      <c r="C55" s="4" t="inlineStr">
        <is>
          <t>Coldwater Refining</t>
        </is>
      </c>
      <c r="D55" s="4" t="n">
        <v>100</v>
      </c>
      <c r="E55" s="4" t="n">
        <v>34.2</v>
      </c>
      <c r="F55" s="4" t="n">
        <v>34.2</v>
      </c>
      <c r="G55" s="4" t="inlineStr">
        <is>
          <t>B</t>
        </is>
      </c>
      <c r="H55" s="4" t="n">
        <v>1</v>
      </c>
      <c r="I55" s="4" t="inlineStr">
        <is>
          <t>medium</t>
        </is>
      </c>
    </row>
    <row r="56">
      <c r="A56" s="4" t="inlineStr">
        <is>
          <t>S02</t>
        </is>
      </c>
      <c r="B56" s="4" t="inlineStr">
        <is>
          <t>2026-10-20</t>
        </is>
      </c>
      <c r="C56" s="4" t="inlineStr">
        <is>
          <t>Driftwood Refining</t>
        </is>
      </c>
      <c r="D56" s="4" t="n">
        <v>100</v>
      </c>
      <c r="E56" s="4" t="n">
        <v>20</v>
      </c>
      <c r="F56" s="4" t="n">
        <v>20</v>
      </c>
      <c r="G56" s="4" t="inlineStr">
        <is>
          <t>B</t>
        </is>
      </c>
      <c r="H56" s="4" t="n">
        <v>1</v>
      </c>
      <c r="I56" s="4" t="inlineStr">
        <is>
          <t>medium</t>
        </is>
      </c>
    </row>
    <row r="57">
      <c r="A57" s="4" t="inlineStr">
        <is>
          <t>S02</t>
        </is>
      </c>
      <c r="B57" s="4" t="inlineStr">
        <is>
          <t>2026-10-20</t>
        </is>
      </c>
      <c r="C57" s="4" t="inlineStr">
        <is>
          <t>Eastgate Refining</t>
        </is>
      </c>
      <c r="D57" s="4" t="n">
        <v>100</v>
      </c>
      <c r="E57" s="4" t="n">
        <v>19.2</v>
      </c>
      <c r="F57" s="4" t="n">
        <v>19.2</v>
      </c>
      <c r="G57" s="4" t="inlineStr">
        <is>
          <t>C</t>
        </is>
      </c>
      <c r="H57" s="4" t="n">
        <v>1</v>
      </c>
      <c r="I57" s="4" t="inlineStr">
        <is>
          <t>medium</t>
        </is>
      </c>
    </row>
    <row r="58">
      <c r="A58" s="4" t="inlineStr">
        <is>
          <t>S02</t>
        </is>
      </c>
      <c r="B58" s="4" t="inlineStr">
        <is>
          <t>2026-10-20</t>
        </is>
      </c>
      <c r="C58" s="4" t="inlineStr">
        <is>
          <t>Fairhaven Refining</t>
        </is>
      </c>
      <c r="D58" s="4" t="n">
        <v>100</v>
      </c>
      <c r="E58" s="4" t="n">
        <v>0</v>
      </c>
      <c r="F58" s="4" t="n">
        <v>0</v>
      </c>
      <c r="G58" s="4" t="inlineStr">
        <is>
          <t>Watch list</t>
        </is>
      </c>
      <c r="H58" s="4" t="n">
        <v>0</v>
      </c>
      <c r="I58" s="4" t="inlineStr">
        <is>
          <t>medium</t>
        </is>
      </c>
    </row>
    <row r="59">
      <c r="A59" s="4" t="inlineStr">
        <is>
          <t>S02</t>
        </is>
      </c>
      <c r="B59" s="4" t="inlineStr">
        <is>
          <t>2026-10-20</t>
        </is>
      </c>
      <c r="C59" s="4" t="inlineStr">
        <is>
          <t>Stonegate Refining</t>
        </is>
      </c>
      <c r="D59" s="4" t="n">
        <v>100</v>
      </c>
      <c r="E59" s="4" t="n">
        <v>0</v>
      </c>
      <c r="F59" s="4" t="n">
        <v>0</v>
      </c>
      <c r="G59" s="4" t="inlineStr">
        <is>
          <t>Watch list</t>
        </is>
      </c>
      <c r="H59" s="4" t="n">
        <v>0</v>
      </c>
      <c r="I59" s="4" t="inlineStr">
        <is>
          <t>medium</t>
        </is>
      </c>
    </row>
    <row r="60">
      <c r="A60" s="4" t="inlineStr">
        <is>
          <t>S02</t>
        </is>
      </c>
      <c r="B60" s="4" t="inlineStr">
        <is>
          <t>2026-10-20</t>
        </is>
      </c>
      <c r="C60" s="4" t="inlineStr">
        <is>
          <t>Larkspur Refining</t>
        </is>
      </c>
      <c r="D60" s="4" t="n">
        <v>97</v>
      </c>
      <c r="E60" s="4" t="n">
        <v>0</v>
      </c>
      <c r="F60" s="4" t="n">
        <v>0</v>
      </c>
      <c r="G60" s="4" t="inlineStr">
        <is>
          <t>Watch list</t>
        </is>
      </c>
      <c r="H60" s="4" t="n">
        <v>0</v>
      </c>
      <c r="I60" s="4" t="inlineStr">
        <is>
          <t>low</t>
        </is>
      </c>
    </row>
    <row r="61">
      <c r="A61" s="4" t="inlineStr">
        <is>
          <t>S02</t>
        </is>
      </c>
      <c r="B61" s="4" t="inlineStr">
        <is>
          <t>2026-10-20</t>
        </is>
      </c>
      <c r="C61" s="4" t="inlineStr">
        <is>
          <t>Rosewood Refining</t>
        </is>
      </c>
      <c r="D61" s="4" t="n">
        <v>97</v>
      </c>
      <c r="E61" s="4" t="n">
        <v>0</v>
      </c>
      <c r="F61" s="4" t="n">
        <v>0</v>
      </c>
      <c r="G61" s="4" t="inlineStr">
        <is>
          <t>Watch list</t>
        </is>
      </c>
      <c r="H61" s="4" t="n">
        <v>0</v>
      </c>
      <c r="I61" s="4" t="inlineStr">
        <is>
          <t>low</t>
        </is>
      </c>
    </row>
    <row r="62">
      <c r="A62" s="4" t="inlineStr">
        <is>
          <t>S02</t>
        </is>
      </c>
      <c r="B62" s="4" t="inlineStr">
        <is>
          <t>2026-10-20</t>
        </is>
      </c>
      <c r="C62" s="4" t="inlineStr">
        <is>
          <t>Quarry Hill Engineering</t>
        </is>
      </c>
      <c r="D62" s="4" t="n">
        <v>96</v>
      </c>
      <c r="E62" s="4" t="n">
        <v>0</v>
      </c>
      <c r="F62" s="4" t="n">
        <v>0</v>
      </c>
      <c r="G62" s="4" t="inlineStr">
        <is>
          <t>Watch list</t>
        </is>
      </c>
      <c r="H62" s="4" t="n">
        <v>0</v>
      </c>
      <c r="I62" s="4" t="inlineStr">
        <is>
          <t>medium</t>
        </is>
      </c>
    </row>
    <row r="63">
      <c r="A63" s="4" t="inlineStr">
        <is>
          <t>S02</t>
        </is>
      </c>
      <c r="B63" s="4" t="inlineStr">
        <is>
          <t>2026-10-20</t>
        </is>
      </c>
      <c r="C63" s="4" t="inlineStr">
        <is>
          <t>Moorland Refining</t>
        </is>
      </c>
      <c r="D63" s="4" t="n">
        <v>94</v>
      </c>
      <c r="E63" s="4" t="n">
        <v>0</v>
      </c>
      <c r="F63" s="4" t="n">
        <v>0</v>
      </c>
      <c r="G63" s="4" t="inlineStr">
        <is>
          <t>Watch list</t>
        </is>
      </c>
      <c r="H63" s="4" t="n">
        <v>0</v>
      </c>
      <c r="I63" s="4" t="inlineStr">
        <is>
          <t>medium</t>
        </is>
      </c>
    </row>
    <row r="64">
      <c r="A64" s="4" t="inlineStr">
        <is>
          <t>S02</t>
        </is>
      </c>
      <c r="B64" s="4" t="inlineStr">
        <is>
          <t>2026-10-20</t>
        </is>
      </c>
      <c r="C64" s="4" t="inlineStr">
        <is>
          <t>Pebblebrook Refining</t>
        </is>
      </c>
      <c r="D64" s="4" t="n">
        <v>85</v>
      </c>
      <c r="E64" s="4" t="n">
        <v>0</v>
      </c>
      <c r="F64" s="4" t="n">
        <v>0</v>
      </c>
      <c r="G64" s="4" t="inlineStr">
        <is>
          <t>Watch list</t>
        </is>
      </c>
      <c r="H64" s="4" t="n">
        <v>0</v>
      </c>
      <c r="I64" s="4" t="inlineStr">
        <is>
          <t>medium</t>
        </is>
      </c>
    </row>
    <row r="65">
      <c r="A65" s="4" t="inlineStr">
        <is>
          <t>S02</t>
        </is>
      </c>
      <c r="B65" s="4" t="inlineStr">
        <is>
          <t>2026-10-20</t>
        </is>
      </c>
      <c r="C65" s="4" t="inlineStr">
        <is>
          <t>Newhaven Petrochem</t>
        </is>
      </c>
      <c r="D65" s="4" t="n">
        <v>75</v>
      </c>
      <c r="E65" s="4" t="n">
        <v>0</v>
      </c>
      <c r="F65" s="4" t="n">
        <v>0</v>
      </c>
      <c r="G65" s="4" t="inlineStr">
        <is>
          <t>Watch list</t>
        </is>
      </c>
      <c r="H65" s="4" t="n">
        <v>0</v>
      </c>
      <c r="I65" s="4" t="inlineStr">
        <is>
          <t>medium</t>
        </is>
      </c>
    </row>
    <row r="66">
      <c r="A66" s="4" t="inlineStr">
        <is>
          <t>S02</t>
        </is>
      </c>
      <c r="B66" s="4" t="inlineStr">
        <is>
          <t>2026-10-20</t>
        </is>
      </c>
      <c r="C66" s="4" t="inlineStr">
        <is>
          <t>Oakridge Water</t>
        </is>
      </c>
      <c r="D66" s="4" t="n">
        <v>60</v>
      </c>
      <c r="E66" s="4" t="n">
        <v>0</v>
      </c>
      <c r="F66" s="4" t="n">
        <v>0</v>
      </c>
      <c r="G66" s="4" t="inlineStr">
        <is>
          <t>Watch list</t>
        </is>
      </c>
      <c r="H66" s="4" t="n">
        <v>0</v>
      </c>
      <c r="I66" s="4" t="inlineStr">
        <is>
          <t>medium</t>
        </is>
      </c>
    </row>
    <row r="67">
      <c r="A67" s="4" t="inlineStr">
        <is>
          <t>S02</t>
        </is>
      </c>
      <c r="B67" s="4" t="inlineStr">
        <is>
          <t>2026-10-20</t>
        </is>
      </c>
      <c r="C67" s="4" t="inlineStr">
        <is>
          <t>Juniper Fuels</t>
        </is>
      </c>
      <c r="D67" s="4" t="n">
        <v>50</v>
      </c>
      <c r="E67" s="4" t="n">
        <v>0</v>
      </c>
      <c r="F67" s="4" t="n">
        <v>0</v>
      </c>
      <c r="G67" s="4" t="inlineStr">
        <is>
          <t>Watch list</t>
        </is>
      </c>
      <c r="H67" s="4" t="n">
        <v>0</v>
      </c>
      <c r="I67" s="4" t="inlineStr">
        <is>
          <t>low</t>
        </is>
      </c>
    </row>
    <row r="68">
      <c r="A68" s="4" t="inlineStr">
        <is>
          <t>S02</t>
        </is>
      </c>
      <c r="B68" s="4" t="inlineStr">
        <is>
          <t>2026-10-20</t>
        </is>
      </c>
      <c r="C68" s="4" t="inlineStr">
        <is>
          <t>Kingsbridge Fuels</t>
        </is>
      </c>
      <c r="D68" s="4" t="n">
        <v>49</v>
      </c>
      <c r="E68" s="4" t="inlineStr"/>
      <c r="F68" s="4" t="inlineStr"/>
      <c r="G68" s="4" t="inlineStr">
        <is>
          <t>Below fit floor</t>
        </is>
      </c>
      <c r="H68" s="4" t="n">
        <v>0</v>
      </c>
      <c r="I68" s="4" t="inlineStr"/>
    </row>
    <row r="69">
      <c r="A69" s="4" t="inlineStr">
        <is>
          <t>S02</t>
        </is>
      </c>
      <c r="B69" s="4" t="inlineStr">
        <is>
          <t>2026-10-20</t>
        </is>
      </c>
      <c r="C69" s="4" t="inlineStr">
        <is>
          <t>Tidewater Refining</t>
        </is>
      </c>
      <c r="D69" s="4" t="inlineStr"/>
      <c r="E69" s="4" t="inlineStr"/>
      <c r="F69" s="4" t="inlineStr"/>
      <c r="G69" s="4" t="inlineStr">
        <is>
          <t>Excluded</t>
        </is>
      </c>
      <c r="H69" s="4" t="n">
        <v>0</v>
      </c>
      <c r="I69" s="4" t="inlineStr">
        <is>
          <t>Outside the pilot region (Australia)</t>
        </is>
      </c>
    </row>
    <row r="70">
      <c r="A70" s="6" t="inlineStr">
        <is>
          <t>S03</t>
        </is>
      </c>
      <c r="B70" s="6" t="inlineStr">
        <is>
          <t>2026-10-20</t>
        </is>
      </c>
      <c r="C70" s="6" t="inlineStr">
        <is>
          <t>Apex Refining</t>
        </is>
      </c>
      <c r="D70" s="6" t="n">
        <v>100</v>
      </c>
      <c r="E70" s="6" t="n">
        <v>50</v>
      </c>
      <c r="F70" s="6" t="n">
        <v>50</v>
      </c>
      <c r="G70" s="6" t="inlineStr">
        <is>
          <t>A</t>
        </is>
      </c>
      <c r="H70" s="6" t="n">
        <v>1</v>
      </c>
      <c r="I70" s="6" t="inlineStr">
        <is>
          <t>medium</t>
        </is>
      </c>
    </row>
    <row r="71">
      <c r="A71" s="6" t="inlineStr">
        <is>
          <t>S03</t>
        </is>
      </c>
      <c r="B71" s="6" t="inlineStr">
        <is>
          <t>2026-10-20</t>
        </is>
      </c>
      <c r="C71" s="6" t="inlineStr">
        <is>
          <t>Larkspur Refining</t>
        </is>
      </c>
      <c r="D71" s="6" t="n">
        <v>97</v>
      </c>
      <c r="E71" s="6" t="n">
        <v>50</v>
      </c>
      <c r="F71" s="6" t="n">
        <v>48.5</v>
      </c>
      <c r="G71" s="6" t="inlineStr">
        <is>
          <t>A</t>
        </is>
      </c>
      <c r="H71" s="6" t="n">
        <v>1</v>
      </c>
      <c r="I71" s="6" t="inlineStr">
        <is>
          <t>low</t>
        </is>
      </c>
    </row>
    <row r="72">
      <c r="A72" s="6" t="inlineStr">
        <is>
          <t>S03</t>
        </is>
      </c>
      <c r="B72" s="6" t="inlineStr">
        <is>
          <t>2026-10-20</t>
        </is>
      </c>
      <c r="C72" s="6" t="inlineStr">
        <is>
          <t>Quarry Hill Engineering</t>
        </is>
      </c>
      <c r="D72" s="6" t="n">
        <v>96</v>
      </c>
      <c r="E72" s="6" t="n">
        <v>50</v>
      </c>
      <c r="F72" s="6" t="n">
        <v>48</v>
      </c>
      <c r="G72" s="6" t="inlineStr">
        <is>
          <t>A</t>
        </is>
      </c>
      <c r="H72" s="6" t="n">
        <v>1</v>
      </c>
      <c r="I72" s="6" t="inlineStr">
        <is>
          <t>medium</t>
        </is>
      </c>
    </row>
    <row r="73">
      <c r="A73" s="6" t="inlineStr">
        <is>
          <t>S03</t>
        </is>
      </c>
      <c r="B73" s="6" t="inlineStr">
        <is>
          <t>2026-10-20</t>
        </is>
      </c>
      <c r="C73" s="6" t="inlineStr">
        <is>
          <t>Moorland Refining</t>
        </is>
      </c>
      <c r="D73" s="6" t="n">
        <v>94</v>
      </c>
      <c r="E73" s="6" t="n">
        <v>50</v>
      </c>
      <c r="F73" s="6" t="n">
        <v>47</v>
      </c>
      <c r="G73" s="6" t="inlineStr">
        <is>
          <t>A</t>
        </is>
      </c>
      <c r="H73" s="6" t="n">
        <v>1</v>
      </c>
      <c r="I73" s="6" t="inlineStr">
        <is>
          <t>medium</t>
        </is>
      </c>
    </row>
    <row r="74">
      <c r="A74" s="6" t="inlineStr">
        <is>
          <t>S03</t>
        </is>
      </c>
      <c r="B74" s="6" t="inlineStr">
        <is>
          <t>2026-10-20</t>
        </is>
      </c>
      <c r="C74" s="6" t="inlineStr">
        <is>
          <t>Pebblebrook Refining</t>
        </is>
      </c>
      <c r="D74" s="6" t="n">
        <v>85</v>
      </c>
      <c r="E74" s="6" t="n">
        <v>50</v>
      </c>
      <c r="F74" s="6" t="n">
        <v>42.5</v>
      </c>
      <c r="G74" s="6" t="inlineStr">
        <is>
          <t>A</t>
        </is>
      </c>
      <c r="H74" s="6" t="n">
        <v>1</v>
      </c>
      <c r="I74" s="6" t="inlineStr">
        <is>
          <t>medium</t>
        </is>
      </c>
    </row>
    <row r="75">
      <c r="A75" s="6" t="inlineStr">
        <is>
          <t>S03</t>
        </is>
      </c>
      <c r="B75" s="6" t="inlineStr">
        <is>
          <t>2026-10-20</t>
        </is>
      </c>
      <c r="C75" s="6" t="inlineStr">
        <is>
          <t>Newhaven Petrochem</t>
        </is>
      </c>
      <c r="D75" s="6" t="n">
        <v>75</v>
      </c>
      <c r="E75" s="6" t="n">
        <v>50</v>
      </c>
      <c r="F75" s="6" t="n">
        <v>37.5</v>
      </c>
      <c r="G75" s="6" t="inlineStr">
        <is>
          <t>A</t>
        </is>
      </c>
      <c r="H75" s="6" t="n">
        <v>1</v>
      </c>
      <c r="I75" s="6" t="inlineStr">
        <is>
          <t>medium</t>
        </is>
      </c>
    </row>
    <row r="76">
      <c r="A76" s="6" t="inlineStr">
        <is>
          <t>S03</t>
        </is>
      </c>
      <c r="B76" s="6" t="inlineStr">
        <is>
          <t>2026-10-20</t>
        </is>
      </c>
      <c r="C76" s="6" t="inlineStr">
        <is>
          <t>Oakridge Water</t>
        </is>
      </c>
      <c r="D76" s="6" t="n">
        <v>60</v>
      </c>
      <c r="E76" s="6" t="n">
        <v>50</v>
      </c>
      <c r="F76" s="6" t="n">
        <v>30</v>
      </c>
      <c r="G76" s="6" t="inlineStr">
        <is>
          <t>B</t>
        </is>
      </c>
      <c r="H76" s="6" t="n">
        <v>1</v>
      </c>
      <c r="I76" s="6" t="inlineStr">
        <is>
          <t>medium</t>
        </is>
      </c>
    </row>
    <row r="77">
      <c r="A77" s="6" t="inlineStr">
        <is>
          <t>S03</t>
        </is>
      </c>
      <c r="B77" s="6" t="inlineStr">
        <is>
          <t>2026-10-20</t>
        </is>
      </c>
      <c r="C77" s="6" t="inlineStr">
        <is>
          <t>Juniper Fuels</t>
        </is>
      </c>
      <c r="D77" s="6" t="n">
        <v>50</v>
      </c>
      <c r="E77" s="6" t="n">
        <v>50</v>
      </c>
      <c r="F77" s="6" t="n">
        <v>25</v>
      </c>
      <c r="G77" s="6" t="inlineStr">
        <is>
          <t>B</t>
        </is>
      </c>
      <c r="H77" s="6" t="n">
        <v>1</v>
      </c>
      <c r="I77" s="6" t="inlineStr">
        <is>
          <t>low</t>
        </is>
      </c>
    </row>
    <row r="78">
      <c r="A78" s="6" t="inlineStr">
        <is>
          <t>S03</t>
        </is>
      </c>
      <c r="B78" s="6" t="inlineStr">
        <is>
          <t>2026-10-20</t>
        </is>
      </c>
      <c r="C78" s="6" t="inlineStr">
        <is>
          <t>Bayfront Refining</t>
        </is>
      </c>
      <c r="D78" s="6" t="n">
        <v>100</v>
      </c>
      <c r="E78" s="6" t="n">
        <v>0</v>
      </c>
      <c r="F78" s="6" t="n">
        <v>0</v>
      </c>
      <c r="G78" s="6" t="inlineStr">
        <is>
          <t>Watch list</t>
        </is>
      </c>
      <c r="H78" s="6" t="n">
        <v>0</v>
      </c>
      <c r="I78" s="6" t="inlineStr">
        <is>
          <t>medium</t>
        </is>
      </c>
    </row>
    <row r="79">
      <c r="A79" s="6" t="inlineStr">
        <is>
          <t>S03</t>
        </is>
      </c>
      <c r="B79" s="6" t="inlineStr">
        <is>
          <t>2026-10-20</t>
        </is>
      </c>
      <c r="C79" s="6" t="inlineStr">
        <is>
          <t>Coldwater Refining</t>
        </is>
      </c>
      <c r="D79" s="6" t="n">
        <v>100</v>
      </c>
      <c r="E79" s="6" t="n">
        <v>0</v>
      </c>
      <c r="F79" s="6" t="n">
        <v>0</v>
      </c>
      <c r="G79" s="6" t="inlineStr">
        <is>
          <t>Watch list</t>
        </is>
      </c>
      <c r="H79" s="6" t="n">
        <v>0</v>
      </c>
      <c r="I79" s="6" t="inlineStr">
        <is>
          <t>medium</t>
        </is>
      </c>
    </row>
    <row r="80">
      <c r="A80" s="6" t="inlineStr">
        <is>
          <t>S03</t>
        </is>
      </c>
      <c r="B80" s="6" t="inlineStr">
        <is>
          <t>2026-10-20</t>
        </is>
      </c>
      <c r="C80" s="6" t="inlineStr">
        <is>
          <t>Driftwood Refining</t>
        </is>
      </c>
      <c r="D80" s="6" t="n">
        <v>100</v>
      </c>
      <c r="E80" s="6" t="n">
        <v>0</v>
      </c>
      <c r="F80" s="6" t="n">
        <v>0</v>
      </c>
      <c r="G80" s="6" t="inlineStr">
        <is>
          <t>Watch list</t>
        </is>
      </c>
      <c r="H80" s="6" t="n">
        <v>0</v>
      </c>
      <c r="I80" s="6" t="inlineStr">
        <is>
          <t>medium</t>
        </is>
      </c>
    </row>
    <row r="81">
      <c r="A81" s="6" t="inlineStr">
        <is>
          <t>S03</t>
        </is>
      </c>
      <c r="B81" s="6" t="inlineStr">
        <is>
          <t>2026-10-20</t>
        </is>
      </c>
      <c r="C81" s="6" t="inlineStr">
        <is>
          <t>Eastgate Refining</t>
        </is>
      </c>
      <c r="D81" s="6" t="n">
        <v>100</v>
      </c>
      <c r="E81" s="6" t="n">
        <v>0</v>
      </c>
      <c r="F81" s="6" t="n">
        <v>0</v>
      </c>
      <c r="G81" s="6" t="inlineStr">
        <is>
          <t>Watch list</t>
        </is>
      </c>
      <c r="H81" s="6" t="n">
        <v>0</v>
      </c>
      <c r="I81" s="6" t="inlineStr">
        <is>
          <t>medium</t>
        </is>
      </c>
    </row>
    <row r="82">
      <c r="A82" s="6" t="inlineStr">
        <is>
          <t>S03</t>
        </is>
      </c>
      <c r="B82" s="6" t="inlineStr">
        <is>
          <t>2026-10-20</t>
        </is>
      </c>
      <c r="C82" s="6" t="inlineStr">
        <is>
          <t>Fairhaven Refining</t>
        </is>
      </c>
      <c r="D82" s="6" t="n">
        <v>100</v>
      </c>
      <c r="E82" s="6" t="n">
        <v>0</v>
      </c>
      <c r="F82" s="6" t="n">
        <v>0</v>
      </c>
      <c r="G82" s="6" t="inlineStr">
        <is>
          <t>Watch list</t>
        </is>
      </c>
      <c r="H82" s="6" t="n">
        <v>0</v>
      </c>
      <c r="I82" s="6" t="inlineStr">
        <is>
          <t>medium</t>
        </is>
      </c>
    </row>
    <row r="83">
      <c r="A83" s="6" t="inlineStr">
        <is>
          <t>S03</t>
        </is>
      </c>
      <c r="B83" s="6" t="inlineStr">
        <is>
          <t>2026-10-20</t>
        </is>
      </c>
      <c r="C83" s="6" t="inlineStr">
        <is>
          <t>Stonegate Refining</t>
        </is>
      </c>
      <c r="D83" s="6" t="n">
        <v>100</v>
      </c>
      <c r="E83" s="6" t="n">
        <v>0</v>
      </c>
      <c r="F83" s="6" t="n">
        <v>0</v>
      </c>
      <c r="G83" s="6" t="inlineStr">
        <is>
          <t>Watch list</t>
        </is>
      </c>
      <c r="H83" s="6" t="n">
        <v>0</v>
      </c>
      <c r="I83" s="6" t="inlineStr">
        <is>
          <t>medium</t>
        </is>
      </c>
    </row>
    <row r="84">
      <c r="A84" s="6" t="inlineStr">
        <is>
          <t>S03</t>
        </is>
      </c>
      <c r="B84" s="6" t="inlineStr">
        <is>
          <t>2026-10-20</t>
        </is>
      </c>
      <c r="C84" s="6" t="inlineStr">
        <is>
          <t>Rosewood Refining</t>
        </is>
      </c>
      <c r="D84" s="6" t="n">
        <v>97</v>
      </c>
      <c r="E84" s="6" t="n">
        <v>0</v>
      </c>
      <c r="F84" s="6" t="n">
        <v>0</v>
      </c>
      <c r="G84" s="6" t="inlineStr">
        <is>
          <t>Watch list</t>
        </is>
      </c>
      <c r="H84" s="6" t="n">
        <v>0</v>
      </c>
      <c r="I84" s="6" t="inlineStr">
        <is>
          <t>low</t>
        </is>
      </c>
    </row>
    <row r="85">
      <c r="A85" s="6" t="inlineStr">
        <is>
          <t>S03</t>
        </is>
      </c>
      <c r="B85" s="6" t="inlineStr">
        <is>
          <t>2026-10-20</t>
        </is>
      </c>
      <c r="C85" s="6" t="inlineStr">
        <is>
          <t>Kingsbridge Fuels</t>
        </is>
      </c>
      <c r="D85" s="6" t="n">
        <v>49</v>
      </c>
      <c r="E85" s="6" t="inlineStr"/>
      <c r="F85" s="6" t="inlineStr"/>
      <c r="G85" s="6" t="inlineStr">
        <is>
          <t>Below fit floor</t>
        </is>
      </c>
      <c r="H85" s="6" t="n">
        <v>0</v>
      </c>
      <c r="I85" s="6" t="inlineStr"/>
    </row>
    <row r="86">
      <c r="A86" s="6" t="inlineStr">
        <is>
          <t>S03</t>
        </is>
      </c>
      <c r="B86" s="6" t="inlineStr">
        <is>
          <t>2026-10-20</t>
        </is>
      </c>
      <c r="C86" s="6" t="inlineStr">
        <is>
          <t>Tidewater Refining</t>
        </is>
      </c>
      <c r="D86" s="6" t="inlineStr"/>
      <c r="E86" s="6" t="inlineStr"/>
      <c r="F86" s="6" t="inlineStr"/>
      <c r="G86" s="6" t="inlineStr">
        <is>
          <t>Excluded</t>
        </is>
      </c>
      <c r="H86" s="6" t="n">
        <v>0</v>
      </c>
      <c r="I86" s="6" t="inlineStr">
        <is>
          <t>Outside the pilot region (Australia)</t>
        </is>
      </c>
    </row>
    <row r="87">
      <c r="A87" s="4" t="inlineStr">
        <is>
          <t>S04</t>
        </is>
      </c>
      <c r="B87" s="4" t="inlineStr">
        <is>
          <t>2026-10-20</t>
        </is>
      </c>
      <c r="C87" s="4" t="inlineStr">
        <is>
          <t>Apex Refining</t>
        </is>
      </c>
      <c r="D87" s="4" t="n">
        <v>100</v>
      </c>
      <c r="E87" s="4" t="n">
        <v>68.8</v>
      </c>
      <c r="F87" s="4" t="n">
        <v>68.8</v>
      </c>
      <c r="G87" s="4" t="inlineStr">
        <is>
          <t>A</t>
        </is>
      </c>
      <c r="H87" s="4" t="n">
        <v>3</v>
      </c>
      <c r="I87" s="4" t="inlineStr">
        <is>
          <t>high</t>
        </is>
      </c>
    </row>
    <row r="88">
      <c r="A88" s="4" t="inlineStr">
        <is>
          <t>S04</t>
        </is>
      </c>
      <c r="B88" s="4" t="inlineStr">
        <is>
          <t>2026-10-20</t>
        </is>
      </c>
      <c r="C88" s="4" t="inlineStr">
        <is>
          <t>Bayfront Refining</t>
        </is>
      </c>
      <c r="D88" s="4" t="n">
        <v>100</v>
      </c>
      <c r="E88" s="4" t="n">
        <v>65</v>
      </c>
      <c r="F88" s="4" t="n">
        <v>65</v>
      </c>
      <c r="G88" s="4" t="inlineStr">
        <is>
          <t>A</t>
        </is>
      </c>
      <c r="H88" s="4" t="n">
        <v>2</v>
      </c>
      <c r="I88" s="4" t="inlineStr">
        <is>
          <t>high</t>
        </is>
      </c>
    </row>
    <row r="89">
      <c r="A89" s="4" t="inlineStr">
        <is>
          <t>S04</t>
        </is>
      </c>
      <c r="B89" s="4" t="inlineStr">
        <is>
          <t>2026-10-20</t>
        </is>
      </c>
      <c r="C89" s="4" t="inlineStr">
        <is>
          <t>Coldwater Refining</t>
        </is>
      </c>
      <c r="D89" s="4" t="n">
        <v>100</v>
      </c>
      <c r="E89" s="4" t="n">
        <v>43</v>
      </c>
      <c r="F89" s="4" t="n">
        <v>43</v>
      </c>
      <c r="G89" s="4" t="inlineStr">
        <is>
          <t>A</t>
        </is>
      </c>
      <c r="H89" s="4" t="n">
        <v>2</v>
      </c>
      <c r="I89" s="4" t="inlineStr">
        <is>
          <t>high</t>
        </is>
      </c>
    </row>
    <row r="90">
      <c r="A90" s="4" t="inlineStr">
        <is>
          <t>S04</t>
        </is>
      </c>
      <c r="B90" s="4" t="inlineStr">
        <is>
          <t>2026-10-20</t>
        </is>
      </c>
      <c r="C90" s="4" t="inlineStr">
        <is>
          <t>Driftwood Refining</t>
        </is>
      </c>
      <c r="D90" s="4" t="n">
        <v>100</v>
      </c>
      <c r="E90" s="4" t="n">
        <v>0</v>
      </c>
      <c r="F90" s="4" t="n">
        <v>0</v>
      </c>
      <c r="G90" s="4" t="inlineStr">
        <is>
          <t>Watch list</t>
        </is>
      </c>
      <c r="H90" s="4" t="n">
        <v>0</v>
      </c>
      <c r="I90" s="4" t="inlineStr">
        <is>
          <t>medium</t>
        </is>
      </c>
    </row>
    <row r="91">
      <c r="A91" s="4" t="inlineStr">
        <is>
          <t>S04</t>
        </is>
      </c>
      <c r="B91" s="4" t="inlineStr">
        <is>
          <t>2026-10-20</t>
        </is>
      </c>
      <c r="C91" s="4" t="inlineStr">
        <is>
          <t>Eastgate Refining</t>
        </is>
      </c>
      <c r="D91" s="4" t="n">
        <v>100</v>
      </c>
      <c r="E91" s="4" t="n">
        <v>0</v>
      </c>
      <c r="F91" s="4" t="n">
        <v>0</v>
      </c>
      <c r="G91" s="4" t="inlineStr">
        <is>
          <t>Watch list</t>
        </is>
      </c>
      <c r="H91" s="4" t="n">
        <v>0</v>
      </c>
      <c r="I91" s="4" t="inlineStr">
        <is>
          <t>medium</t>
        </is>
      </c>
    </row>
    <row r="92">
      <c r="A92" s="4" t="inlineStr">
        <is>
          <t>S04</t>
        </is>
      </c>
      <c r="B92" s="4" t="inlineStr">
        <is>
          <t>2026-10-20</t>
        </is>
      </c>
      <c r="C92" s="4" t="inlineStr">
        <is>
          <t>Fairhaven Refining</t>
        </is>
      </c>
      <c r="D92" s="4" t="n">
        <v>100</v>
      </c>
      <c r="E92" s="4" t="n">
        <v>0</v>
      </c>
      <c r="F92" s="4" t="n">
        <v>0</v>
      </c>
      <c r="G92" s="4" t="inlineStr">
        <is>
          <t>Watch list</t>
        </is>
      </c>
      <c r="H92" s="4" t="n">
        <v>0</v>
      </c>
      <c r="I92" s="4" t="inlineStr">
        <is>
          <t>medium</t>
        </is>
      </c>
    </row>
    <row r="93">
      <c r="A93" s="4" t="inlineStr">
        <is>
          <t>S04</t>
        </is>
      </c>
      <c r="B93" s="4" t="inlineStr">
        <is>
          <t>2026-10-20</t>
        </is>
      </c>
      <c r="C93" s="4" t="inlineStr">
        <is>
          <t>Stonegate Refining</t>
        </is>
      </c>
      <c r="D93" s="4" t="n">
        <v>100</v>
      </c>
      <c r="E93" s="4" t="n">
        <v>0</v>
      </c>
      <c r="F93" s="4" t="n">
        <v>0</v>
      </c>
      <c r="G93" s="4" t="inlineStr">
        <is>
          <t>Watch list</t>
        </is>
      </c>
      <c r="H93" s="4" t="n">
        <v>0</v>
      </c>
      <c r="I93" s="4" t="inlineStr">
        <is>
          <t>medium</t>
        </is>
      </c>
    </row>
    <row r="94">
      <c r="A94" s="4" t="inlineStr">
        <is>
          <t>S04</t>
        </is>
      </c>
      <c r="B94" s="4" t="inlineStr">
        <is>
          <t>2026-10-20</t>
        </is>
      </c>
      <c r="C94" s="4" t="inlineStr">
        <is>
          <t>Larkspur Refining</t>
        </is>
      </c>
      <c r="D94" s="4" t="n">
        <v>97</v>
      </c>
      <c r="E94" s="4" t="n">
        <v>0</v>
      </c>
      <c r="F94" s="4" t="n">
        <v>0</v>
      </c>
      <c r="G94" s="4" t="inlineStr">
        <is>
          <t>Watch list</t>
        </is>
      </c>
      <c r="H94" s="4" t="n">
        <v>0</v>
      </c>
      <c r="I94" s="4" t="inlineStr">
        <is>
          <t>low</t>
        </is>
      </c>
    </row>
    <row r="95">
      <c r="A95" s="4" t="inlineStr">
        <is>
          <t>S04</t>
        </is>
      </c>
      <c r="B95" s="4" t="inlineStr">
        <is>
          <t>2026-10-20</t>
        </is>
      </c>
      <c r="C95" s="4" t="inlineStr">
        <is>
          <t>Rosewood Refining</t>
        </is>
      </c>
      <c r="D95" s="4" t="n">
        <v>97</v>
      </c>
      <c r="E95" s="4" t="n">
        <v>0</v>
      </c>
      <c r="F95" s="4" t="n">
        <v>0</v>
      </c>
      <c r="G95" s="4" t="inlineStr">
        <is>
          <t>Watch list</t>
        </is>
      </c>
      <c r="H95" s="4" t="n">
        <v>0</v>
      </c>
      <c r="I95" s="4" t="inlineStr">
        <is>
          <t>low</t>
        </is>
      </c>
    </row>
    <row r="96">
      <c r="A96" s="4" t="inlineStr">
        <is>
          <t>S04</t>
        </is>
      </c>
      <c r="B96" s="4" t="inlineStr">
        <is>
          <t>2026-10-20</t>
        </is>
      </c>
      <c r="C96" s="4" t="inlineStr">
        <is>
          <t>Quarry Hill Engineering</t>
        </is>
      </c>
      <c r="D96" s="4" t="n">
        <v>96</v>
      </c>
      <c r="E96" s="4" t="n">
        <v>0</v>
      </c>
      <c r="F96" s="4" t="n">
        <v>0</v>
      </c>
      <c r="G96" s="4" t="inlineStr">
        <is>
          <t>Watch list</t>
        </is>
      </c>
      <c r="H96" s="4" t="n">
        <v>0</v>
      </c>
      <c r="I96" s="4" t="inlineStr">
        <is>
          <t>medium</t>
        </is>
      </c>
    </row>
    <row r="97">
      <c r="A97" s="4" t="inlineStr">
        <is>
          <t>S04</t>
        </is>
      </c>
      <c r="B97" s="4" t="inlineStr">
        <is>
          <t>2026-10-20</t>
        </is>
      </c>
      <c r="C97" s="4" t="inlineStr">
        <is>
          <t>Moorland Refining</t>
        </is>
      </c>
      <c r="D97" s="4" t="n">
        <v>94</v>
      </c>
      <c r="E97" s="4" t="n">
        <v>0</v>
      </c>
      <c r="F97" s="4" t="n">
        <v>0</v>
      </c>
      <c r="G97" s="4" t="inlineStr">
        <is>
          <t>Watch list</t>
        </is>
      </c>
      <c r="H97" s="4" t="n">
        <v>0</v>
      </c>
      <c r="I97" s="4" t="inlineStr">
        <is>
          <t>medium</t>
        </is>
      </c>
    </row>
    <row r="98">
      <c r="A98" s="4" t="inlineStr">
        <is>
          <t>S04</t>
        </is>
      </c>
      <c r="B98" s="4" t="inlineStr">
        <is>
          <t>2026-10-20</t>
        </is>
      </c>
      <c r="C98" s="4" t="inlineStr">
        <is>
          <t>Pebblebrook Refining</t>
        </is>
      </c>
      <c r="D98" s="4" t="n">
        <v>85</v>
      </c>
      <c r="E98" s="4" t="n">
        <v>0</v>
      </c>
      <c r="F98" s="4" t="n">
        <v>0</v>
      </c>
      <c r="G98" s="4" t="inlineStr">
        <is>
          <t>Watch list</t>
        </is>
      </c>
      <c r="H98" s="4" t="n">
        <v>0</v>
      </c>
      <c r="I98" s="4" t="inlineStr">
        <is>
          <t>medium</t>
        </is>
      </c>
    </row>
    <row r="99">
      <c r="A99" s="4" t="inlineStr">
        <is>
          <t>S04</t>
        </is>
      </c>
      <c r="B99" s="4" t="inlineStr">
        <is>
          <t>2026-10-20</t>
        </is>
      </c>
      <c r="C99" s="4" t="inlineStr">
        <is>
          <t>Newhaven Petrochem</t>
        </is>
      </c>
      <c r="D99" s="4" t="n">
        <v>75</v>
      </c>
      <c r="E99" s="4" t="n">
        <v>0</v>
      </c>
      <c r="F99" s="4" t="n">
        <v>0</v>
      </c>
      <c r="G99" s="4" t="inlineStr">
        <is>
          <t>Watch list</t>
        </is>
      </c>
      <c r="H99" s="4" t="n">
        <v>0</v>
      </c>
      <c r="I99" s="4" t="inlineStr">
        <is>
          <t>medium</t>
        </is>
      </c>
    </row>
    <row r="100">
      <c r="A100" s="4" t="inlineStr">
        <is>
          <t>S04</t>
        </is>
      </c>
      <c r="B100" s="4" t="inlineStr">
        <is>
          <t>2026-10-20</t>
        </is>
      </c>
      <c r="C100" s="4" t="inlineStr">
        <is>
          <t>Oakridge Water</t>
        </is>
      </c>
      <c r="D100" s="4" t="n">
        <v>60</v>
      </c>
      <c r="E100" s="4" t="n">
        <v>0</v>
      </c>
      <c r="F100" s="4" t="n">
        <v>0</v>
      </c>
      <c r="G100" s="4" t="inlineStr">
        <is>
          <t>Watch list</t>
        </is>
      </c>
      <c r="H100" s="4" t="n">
        <v>0</v>
      </c>
      <c r="I100" s="4" t="inlineStr">
        <is>
          <t>medium</t>
        </is>
      </c>
    </row>
    <row r="101">
      <c r="A101" s="4" t="inlineStr">
        <is>
          <t>S04</t>
        </is>
      </c>
      <c r="B101" s="4" t="inlineStr">
        <is>
          <t>2026-10-20</t>
        </is>
      </c>
      <c r="C101" s="4" t="inlineStr">
        <is>
          <t>Juniper Fuels</t>
        </is>
      </c>
      <c r="D101" s="4" t="n">
        <v>50</v>
      </c>
      <c r="E101" s="4" t="n">
        <v>0</v>
      </c>
      <c r="F101" s="4" t="n">
        <v>0</v>
      </c>
      <c r="G101" s="4" t="inlineStr">
        <is>
          <t>Watch list</t>
        </is>
      </c>
      <c r="H101" s="4" t="n">
        <v>0</v>
      </c>
      <c r="I101" s="4" t="inlineStr">
        <is>
          <t>low</t>
        </is>
      </c>
    </row>
    <row r="102">
      <c r="A102" s="4" t="inlineStr">
        <is>
          <t>S04</t>
        </is>
      </c>
      <c r="B102" s="4" t="inlineStr">
        <is>
          <t>2026-10-20</t>
        </is>
      </c>
      <c r="C102" s="4" t="inlineStr">
        <is>
          <t>Kingsbridge Fuels</t>
        </is>
      </c>
      <c r="D102" s="4" t="n">
        <v>49</v>
      </c>
      <c r="E102" s="4" t="inlineStr"/>
      <c r="F102" s="4" t="inlineStr"/>
      <c r="G102" s="4" t="inlineStr">
        <is>
          <t>Below fit floor</t>
        </is>
      </c>
      <c r="H102" s="4" t="n">
        <v>0</v>
      </c>
      <c r="I102" s="4" t="inlineStr"/>
    </row>
    <row r="103">
      <c r="A103" s="4" t="inlineStr">
        <is>
          <t>S04</t>
        </is>
      </c>
      <c r="B103" s="4" t="inlineStr">
        <is>
          <t>2026-10-20</t>
        </is>
      </c>
      <c r="C103" s="4" t="inlineStr">
        <is>
          <t>Tidewater Refining</t>
        </is>
      </c>
      <c r="D103" s="4" t="inlineStr"/>
      <c r="E103" s="4" t="inlineStr"/>
      <c r="F103" s="4" t="inlineStr"/>
      <c r="G103" s="4" t="inlineStr">
        <is>
          <t>Excluded</t>
        </is>
      </c>
      <c r="H103" s="4" t="n">
        <v>0</v>
      </c>
      <c r="I103" s="4" t="inlineStr">
        <is>
          <t>Outside the pilot region (Australia)</t>
        </is>
      </c>
    </row>
    <row r="104">
      <c r="A104" s="6" t="inlineStr">
        <is>
          <t>S05</t>
        </is>
      </c>
      <c r="B104" s="6" t="inlineStr">
        <is>
          <t>2026-10-20</t>
        </is>
      </c>
      <c r="C104" s="6" t="inlineStr">
        <is>
          <t>Apex Refining</t>
        </is>
      </c>
      <c r="D104" s="6" t="n">
        <v>100</v>
      </c>
      <c r="E104" s="6" t="n">
        <v>50</v>
      </c>
      <c r="F104" s="6" t="n">
        <v>50</v>
      </c>
      <c r="G104" s="6" t="inlineStr">
        <is>
          <t>A</t>
        </is>
      </c>
      <c r="H104" s="6" t="n">
        <v>1</v>
      </c>
      <c r="I104" s="6" t="inlineStr">
        <is>
          <t>medium</t>
        </is>
      </c>
    </row>
    <row r="105">
      <c r="A105" s="6" t="inlineStr">
        <is>
          <t>S05</t>
        </is>
      </c>
      <c r="B105" s="6" t="inlineStr">
        <is>
          <t>2026-10-20</t>
        </is>
      </c>
      <c r="C105" s="6" t="inlineStr">
        <is>
          <t>Bayfront Refining</t>
        </is>
      </c>
      <c r="D105" s="6" t="n">
        <v>100</v>
      </c>
      <c r="E105" s="6" t="n">
        <v>0</v>
      </c>
      <c r="F105" s="6" t="n">
        <v>0</v>
      </c>
      <c r="G105" s="6" t="inlineStr">
        <is>
          <t>Watch list</t>
        </is>
      </c>
      <c r="H105" s="6" t="n">
        <v>0</v>
      </c>
      <c r="I105" s="6" t="inlineStr">
        <is>
          <t>medium</t>
        </is>
      </c>
    </row>
    <row r="106">
      <c r="A106" s="6" t="inlineStr">
        <is>
          <t>S05</t>
        </is>
      </c>
      <c r="B106" s="6" t="inlineStr">
        <is>
          <t>2026-10-20</t>
        </is>
      </c>
      <c r="C106" s="6" t="inlineStr">
        <is>
          <t>Coldwater Refining</t>
        </is>
      </c>
      <c r="D106" s="6" t="n">
        <v>100</v>
      </c>
      <c r="E106" s="6" t="n">
        <v>0</v>
      </c>
      <c r="F106" s="6" t="n">
        <v>0</v>
      </c>
      <c r="G106" s="6" t="inlineStr">
        <is>
          <t>Watch list</t>
        </is>
      </c>
      <c r="H106" s="6" t="n">
        <v>0</v>
      </c>
      <c r="I106" s="6" t="inlineStr">
        <is>
          <t>medium</t>
        </is>
      </c>
    </row>
    <row r="107">
      <c r="A107" s="6" t="inlineStr">
        <is>
          <t>S05</t>
        </is>
      </c>
      <c r="B107" s="6" t="inlineStr">
        <is>
          <t>2026-10-20</t>
        </is>
      </c>
      <c r="C107" s="6" t="inlineStr">
        <is>
          <t>Driftwood Refining</t>
        </is>
      </c>
      <c r="D107" s="6" t="n">
        <v>100</v>
      </c>
      <c r="E107" s="6" t="n">
        <v>0</v>
      </c>
      <c r="F107" s="6" t="n">
        <v>0</v>
      </c>
      <c r="G107" s="6" t="inlineStr">
        <is>
          <t>Watch list</t>
        </is>
      </c>
      <c r="H107" s="6" t="n">
        <v>0</v>
      </c>
      <c r="I107" s="6" t="inlineStr">
        <is>
          <t>medium</t>
        </is>
      </c>
    </row>
    <row r="108">
      <c r="A108" s="6" t="inlineStr">
        <is>
          <t>S05</t>
        </is>
      </c>
      <c r="B108" s="6" t="inlineStr">
        <is>
          <t>2026-10-20</t>
        </is>
      </c>
      <c r="C108" s="6" t="inlineStr">
        <is>
          <t>Eastgate Refining</t>
        </is>
      </c>
      <c r="D108" s="6" t="n">
        <v>100</v>
      </c>
      <c r="E108" s="6" t="n">
        <v>0</v>
      </c>
      <c r="F108" s="6" t="n">
        <v>0</v>
      </c>
      <c r="G108" s="6" t="inlineStr">
        <is>
          <t>Watch list</t>
        </is>
      </c>
      <c r="H108" s="6" t="n">
        <v>0</v>
      </c>
      <c r="I108" s="6" t="inlineStr">
        <is>
          <t>medium</t>
        </is>
      </c>
    </row>
    <row r="109">
      <c r="A109" s="6" t="inlineStr">
        <is>
          <t>S05</t>
        </is>
      </c>
      <c r="B109" s="6" t="inlineStr">
        <is>
          <t>2026-10-20</t>
        </is>
      </c>
      <c r="C109" s="6" t="inlineStr">
        <is>
          <t>Fairhaven Refining</t>
        </is>
      </c>
      <c r="D109" s="6" t="n">
        <v>100</v>
      </c>
      <c r="E109" s="6" t="n">
        <v>0</v>
      </c>
      <c r="F109" s="6" t="n">
        <v>0</v>
      </c>
      <c r="G109" s="6" t="inlineStr">
        <is>
          <t>Watch list</t>
        </is>
      </c>
      <c r="H109" s="6" t="n">
        <v>0</v>
      </c>
      <c r="I109" s="6" t="inlineStr">
        <is>
          <t>medium</t>
        </is>
      </c>
    </row>
    <row r="110">
      <c r="A110" s="6" t="inlineStr">
        <is>
          <t>S05</t>
        </is>
      </c>
      <c r="B110" s="6" t="inlineStr">
        <is>
          <t>2026-10-20</t>
        </is>
      </c>
      <c r="C110" s="6" t="inlineStr">
        <is>
          <t>Larkspur Refining</t>
        </is>
      </c>
      <c r="D110" s="6" t="n">
        <v>97</v>
      </c>
      <c r="E110" s="6" t="n">
        <v>0</v>
      </c>
      <c r="F110" s="6" t="n">
        <v>0</v>
      </c>
      <c r="G110" s="6" t="inlineStr">
        <is>
          <t>Watch list</t>
        </is>
      </c>
      <c r="H110" s="6" t="n">
        <v>0</v>
      </c>
      <c r="I110" s="6" t="inlineStr">
        <is>
          <t>low</t>
        </is>
      </c>
    </row>
    <row r="111">
      <c r="A111" s="6" t="inlineStr">
        <is>
          <t>S05</t>
        </is>
      </c>
      <c r="B111" s="6" t="inlineStr">
        <is>
          <t>2026-10-20</t>
        </is>
      </c>
      <c r="C111" s="6" t="inlineStr">
        <is>
          <t>Rosewood Refining</t>
        </is>
      </c>
      <c r="D111" s="6" t="n">
        <v>97</v>
      </c>
      <c r="E111" s="6" t="n">
        <v>0</v>
      </c>
      <c r="F111" s="6" t="n">
        <v>0</v>
      </c>
      <c r="G111" s="6" t="inlineStr">
        <is>
          <t>Watch list</t>
        </is>
      </c>
      <c r="H111" s="6" t="n">
        <v>0</v>
      </c>
      <c r="I111" s="6" t="inlineStr">
        <is>
          <t>low</t>
        </is>
      </c>
    </row>
    <row r="112">
      <c r="A112" s="6" t="inlineStr">
        <is>
          <t>S05</t>
        </is>
      </c>
      <c r="B112" s="6" t="inlineStr">
        <is>
          <t>2026-10-20</t>
        </is>
      </c>
      <c r="C112" s="6" t="inlineStr">
        <is>
          <t>Moorland Refining</t>
        </is>
      </c>
      <c r="D112" s="6" t="n">
        <v>94</v>
      </c>
      <c r="E112" s="6" t="n">
        <v>0</v>
      </c>
      <c r="F112" s="6" t="n">
        <v>0</v>
      </c>
      <c r="G112" s="6" t="inlineStr">
        <is>
          <t>Watch list</t>
        </is>
      </c>
      <c r="H112" s="6" t="n">
        <v>0</v>
      </c>
      <c r="I112" s="6" t="inlineStr">
        <is>
          <t>medium</t>
        </is>
      </c>
    </row>
    <row r="113">
      <c r="A113" s="6" t="inlineStr">
        <is>
          <t>S05</t>
        </is>
      </c>
      <c r="B113" s="6" t="inlineStr">
        <is>
          <t>2026-10-20</t>
        </is>
      </c>
      <c r="C113" s="6" t="inlineStr">
        <is>
          <t>Pebblebrook Refining</t>
        </is>
      </c>
      <c r="D113" s="6" t="n">
        <v>85</v>
      </c>
      <c r="E113" s="6" t="n">
        <v>0</v>
      </c>
      <c r="F113" s="6" t="n">
        <v>0</v>
      </c>
      <c r="G113" s="6" t="inlineStr">
        <is>
          <t>Watch list</t>
        </is>
      </c>
      <c r="H113" s="6" t="n">
        <v>0</v>
      </c>
      <c r="I113" s="6" t="inlineStr">
        <is>
          <t>medium</t>
        </is>
      </c>
    </row>
    <row r="114">
      <c r="A114" s="6" t="inlineStr">
        <is>
          <t>S05</t>
        </is>
      </c>
      <c r="B114" s="6" t="inlineStr">
        <is>
          <t>2026-10-20</t>
        </is>
      </c>
      <c r="C114" s="6" t="inlineStr">
        <is>
          <t>Newhaven Petrochem</t>
        </is>
      </c>
      <c r="D114" s="6" t="n">
        <v>75</v>
      </c>
      <c r="E114" s="6" t="n">
        <v>0</v>
      </c>
      <c r="F114" s="6" t="n">
        <v>0</v>
      </c>
      <c r="G114" s="6" t="inlineStr">
        <is>
          <t>Watch list</t>
        </is>
      </c>
      <c r="H114" s="6" t="n">
        <v>0</v>
      </c>
      <c r="I114" s="6" t="inlineStr">
        <is>
          <t>medium</t>
        </is>
      </c>
    </row>
    <row r="115">
      <c r="A115" s="6" t="inlineStr">
        <is>
          <t>S05</t>
        </is>
      </c>
      <c r="B115" s="6" t="inlineStr">
        <is>
          <t>2026-10-20</t>
        </is>
      </c>
      <c r="C115" s="6" t="inlineStr">
        <is>
          <t>Oakridge Water</t>
        </is>
      </c>
      <c r="D115" s="6" t="n">
        <v>60</v>
      </c>
      <c r="E115" s="6" t="n">
        <v>0</v>
      </c>
      <c r="F115" s="6" t="n">
        <v>0</v>
      </c>
      <c r="G115" s="6" t="inlineStr">
        <is>
          <t>Watch list</t>
        </is>
      </c>
      <c r="H115" s="6" t="n">
        <v>0</v>
      </c>
      <c r="I115" s="6" t="inlineStr">
        <is>
          <t>medium</t>
        </is>
      </c>
    </row>
    <row r="116">
      <c r="A116" s="6" t="inlineStr">
        <is>
          <t>S05</t>
        </is>
      </c>
      <c r="B116" s="6" t="inlineStr">
        <is>
          <t>2026-10-20</t>
        </is>
      </c>
      <c r="C116" s="6" t="inlineStr">
        <is>
          <t>Juniper Fuels</t>
        </is>
      </c>
      <c r="D116" s="6" t="n">
        <v>50</v>
      </c>
      <c r="E116" s="6" t="n">
        <v>0</v>
      </c>
      <c r="F116" s="6" t="n">
        <v>0</v>
      </c>
      <c r="G116" s="6" t="inlineStr">
        <is>
          <t>Watch list</t>
        </is>
      </c>
      <c r="H116" s="6" t="n">
        <v>0</v>
      </c>
      <c r="I116" s="6" t="inlineStr">
        <is>
          <t>low</t>
        </is>
      </c>
    </row>
    <row r="117">
      <c r="A117" s="6" t="inlineStr">
        <is>
          <t>S05</t>
        </is>
      </c>
      <c r="B117" s="6" t="inlineStr">
        <is>
          <t>2026-10-20</t>
        </is>
      </c>
      <c r="C117" s="6" t="inlineStr">
        <is>
          <t>Kingsbridge Fuels</t>
        </is>
      </c>
      <c r="D117" s="6" t="n">
        <v>49</v>
      </c>
      <c r="E117" s="6" t="inlineStr"/>
      <c r="F117" s="6" t="inlineStr"/>
      <c r="G117" s="6" t="inlineStr">
        <is>
          <t>Below fit floor</t>
        </is>
      </c>
      <c r="H117" s="6" t="n">
        <v>0</v>
      </c>
      <c r="I117" s="6" t="inlineStr"/>
    </row>
    <row r="118">
      <c r="A118" s="6" t="inlineStr">
        <is>
          <t>S05</t>
        </is>
      </c>
      <c r="B118" s="6" t="inlineStr">
        <is>
          <t>2026-10-20</t>
        </is>
      </c>
      <c r="C118" s="6" t="inlineStr">
        <is>
          <t>Quarry Hill Engineering</t>
        </is>
      </c>
      <c r="D118" s="6" t="inlineStr"/>
      <c r="E118" s="6" t="inlineStr"/>
      <c r="F118" s="6" t="inlineStr"/>
      <c r="G118" s="6" t="inlineStr">
        <is>
          <t>Excluded</t>
        </is>
      </c>
      <c r="H118" s="6" t="n">
        <v>0</v>
      </c>
      <c r="I118" s="6" t="inlineStr">
        <is>
          <t>Pilot product already installed at the site</t>
        </is>
      </c>
    </row>
    <row r="119">
      <c r="A119" s="6" t="inlineStr">
        <is>
          <t>S05</t>
        </is>
      </c>
      <c r="B119" s="6" t="inlineStr">
        <is>
          <t>2026-10-20</t>
        </is>
      </c>
      <c r="C119" s="6" t="inlineStr">
        <is>
          <t>Stonegate Refining</t>
        </is>
      </c>
      <c r="D119" s="6" t="inlineStr"/>
      <c r="E119" s="6" t="inlineStr"/>
      <c r="F119" s="6" t="inlineStr"/>
      <c r="G119" s="6" t="inlineStr">
        <is>
          <t>Excluded</t>
        </is>
      </c>
      <c r="H119" s="6" t="n">
        <v>0</v>
      </c>
      <c r="I119" s="6" t="inlineStr">
        <is>
          <t>Pilot product already installed at the site</t>
        </is>
      </c>
    </row>
    <row r="120">
      <c r="A120" s="6" t="inlineStr">
        <is>
          <t>S05</t>
        </is>
      </c>
      <c r="B120" s="6" t="inlineStr">
        <is>
          <t>2026-10-20</t>
        </is>
      </c>
      <c r="C120" s="6" t="inlineStr">
        <is>
          <t>Tidewater Refining</t>
        </is>
      </c>
      <c r="D120" s="6" t="inlineStr"/>
      <c r="E120" s="6" t="inlineStr"/>
      <c r="F120" s="6" t="inlineStr"/>
      <c r="G120" s="6" t="inlineStr">
        <is>
          <t>Excluded</t>
        </is>
      </c>
      <c r="H120" s="6" t="n">
        <v>0</v>
      </c>
      <c r="I120" s="6" t="inlineStr">
        <is>
          <t>Outside the pilot region (Australia)</t>
        </is>
      </c>
    </row>
    <row r="121">
      <c r="A121" s="4" t="inlineStr">
        <is>
          <t>S06</t>
        </is>
      </c>
      <c r="B121" s="4" t="inlineStr">
        <is>
          <t>2026-10-20</t>
        </is>
      </c>
      <c r="C121" s="4" t="inlineStr">
        <is>
          <t>Apex Refining</t>
        </is>
      </c>
      <c r="D121" s="4" t="n">
        <v>100</v>
      </c>
      <c r="E121" s="4" t="n">
        <v>0</v>
      </c>
      <c r="F121" s="4" t="n">
        <v>0</v>
      </c>
      <c r="G121" s="4" t="inlineStr">
        <is>
          <t>Watch list</t>
        </is>
      </c>
      <c r="H121" s="4" t="n">
        <v>0</v>
      </c>
      <c r="I121" s="4" t="inlineStr">
        <is>
          <t>medium</t>
        </is>
      </c>
    </row>
    <row r="122">
      <c r="A122" s="4" t="inlineStr">
        <is>
          <t>S06</t>
        </is>
      </c>
      <c r="B122" s="4" t="inlineStr">
        <is>
          <t>2026-10-20</t>
        </is>
      </c>
      <c r="C122" s="4" t="inlineStr">
        <is>
          <t>Bayfront Refining</t>
        </is>
      </c>
      <c r="D122" s="4" t="n">
        <v>100</v>
      </c>
      <c r="E122" s="4" t="n">
        <v>0</v>
      </c>
      <c r="F122" s="4" t="n">
        <v>0</v>
      </c>
      <c r="G122" s="4" t="inlineStr">
        <is>
          <t>Watch list</t>
        </is>
      </c>
      <c r="H122" s="4" t="n">
        <v>0</v>
      </c>
      <c r="I122" s="4" t="inlineStr">
        <is>
          <t>medium</t>
        </is>
      </c>
    </row>
    <row r="123">
      <c r="A123" s="4" t="inlineStr">
        <is>
          <t>S06</t>
        </is>
      </c>
      <c r="B123" s="4" t="inlineStr">
        <is>
          <t>2026-10-20</t>
        </is>
      </c>
      <c r="C123" s="4" t="inlineStr">
        <is>
          <t>Coldwater Refining</t>
        </is>
      </c>
      <c r="D123" s="4" t="n">
        <v>100</v>
      </c>
      <c r="E123" s="4" t="n">
        <v>0</v>
      </c>
      <c r="F123" s="4" t="n">
        <v>0</v>
      </c>
      <c r="G123" s="4" t="inlineStr">
        <is>
          <t>Watch list</t>
        </is>
      </c>
      <c r="H123" s="4" t="n">
        <v>0</v>
      </c>
      <c r="I123" s="4" t="inlineStr">
        <is>
          <t>medium</t>
        </is>
      </c>
    </row>
    <row r="124">
      <c r="A124" s="4" t="inlineStr">
        <is>
          <t>S06</t>
        </is>
      </c>
      <c r="B124" s="4" t="inlineStr">
        <is>
          <t>2026-10-20</t>
        </is>
      </c>
      <c r="C124" s="4" t="inlineStr">
        <is>
          <t>Driftwood Refining</t>
        </is>
      </c>
      <c r="D124" s="4" t="n">
        <v>100</v>
      </c>
      <c r="E124" s="4" t="n">
        <v>0</v>
      </c>
      <c r="F124" s="4" t="n">
        <v>0</v>
      </c>
      <c r="G124" s="4" t="inlineStr">
        <is>
          <t>Watch list</t>
        </is>
      </c>
      <c r="H124" s="4" t="n">
        <v>0</v>
      </c>
      <c r="I124" s="4" t="inlineStr">
        <is>
          <t>medium</t>
        </is>
      </c>
    </row>
    <row r="125">
      <c r="A125" s="4" t="inlineStr">
        <is>
          <t>S06</t>
        </is>
      </c>
      <c r="B125" s="4" t="inlineStr">
        <is>
          <t>2026-10-20</t>
        </is>
      </c>
      <c r="C125" s="4" t="inlineStr">
        <is>
          <t>Eastgate Refining</t>
        </is>
      </c>
      <c r="D125" s="4" t="n">
        <v>100</v>
      </c>
      <c r="E125" s="4" t="n">
        <v>0</v>
      </c>
      <c r="F125" s="4" t="n">
        <v>0</v>
      </c>
      <c r="G125" s="4" t="inlineStr">
        <is>
          <t>Watch list</t>
        </is>
      </c>
      <c r="H125" s="4" t="n">
        <v>0</v>
      </c>
      <c r="I125" s="4" t="inlineStr">
        <is>
          <t>medium</t>
        </is>
      </c>
    </row>
    <row r="126">
      <c r="A126" s="4" t="inlineStr">
        <is>
          <t>S06</t>
        </is>
      </c>
      <c r="B126" s="4" t="inlineStr">
        <is>
          <t>2026-10-20</t>
        </is>
      </c>
      <c r="C126" s="4" t="inlineStr">
        <is>
          <t>Fairhaven Refining</t>
        </is>
      </c>
      <c r="D126" s="4" t="n">
        <v>100</v>
      </c>
      <c r="E126" s="4" t="n">
        <v>0</v>
      </c>
      <c r="F126" s="4" t="n">
        <v>0</v>
      </c>
      <c r="G126" s="4" t="inlineStr">
        <is>
          <t>Watch list</t>
        </is>
      </c>
      <c r="H126" s="4" t="n">
        <v>0</v>
      </c>
      <c r="I126" s="4" t="inlineStr">
        <is>
          <t>medium</t>
        </is>
      </c>
    </row>
    <row r="127">
      <c r="A127" s="4" t="inlineStr">
        <is>
          <t>S06</t>
        </is>
      </c>
      <c r="B127" s="4" t="inlineStr">
        <is>
          <t>2026-10-20</t>
        </is>
      </c>
      <c r="C127" s="4" t="inlineStr">
        <is>
          <t>Stonegate Refining</t>
        </is>
      </c>
      <c r="D127" s="4" t="n">
        <v>100</v>
      </c>
      <c r="E127" s="4" t="n">
        <v>0</v>
      </c>
      <c r="F127" s="4" t="n">
        <v>0</v>
      </c>
      <c r="G127" s="4" t="inlineStr">
        <is>
          <t>Watch list</t>
        </is>
      </c>
      <c r="H127" s="4" t="n">
        <v>0</v>
      </c>
      <c r="I127" s="4" t="inlineStr">
        <is>
          <t>medium</t>
        </is>
      </c>
    </row>
    <row r="128">
      <c r="A128" s="4" t="inlineStr">
        <is>
          <t>S06</t>
        </is>
      </c>
      <c r="B128" s="4" t="inlineStr">
        <is>
          <t>2026-10-20</t>
        </is>
      </c>
      <c r="C128" s="4" t="inlineStr">
        <is>
          <t>Larkspur Refining</t>
        </is>
      </c>
      <c r="D128" s="4" t="n">
        <v>97</v>
      </c>
      <c r="E128" s="4" t="n">
        <v>0</v>
      </c>
      <c r="F128" s="4" t="n">
        <v>0</v>
      </c>
      <c r="G128" s="4" t="inlineStr">
        <is>
          <t>Watch list</t>
        </is>
      </c>
      <c r="H128" s="4" t="n">
        <v>0</v>
      </c>
      <c r="I128" s="4" t="inlineStr">
        <is>
          <t>low</t>
        </is>
      </c>
    </row>
    <row r="129">
      <c r="A129" s="4" t="inlineStr">
        <is>
          <t>S06</t>
        </is>
      </c>
      <c r="B129" s="4" t="inlineStr">
        <is>
          <t>2026-10-20</t>
        </is>
      </c>
      <c r="C129" s="4" t="inlineStr">
        <is>
          <t>Rosewood Refining</t>
        </is>
      </c>
      <c r="D129" s="4" t="n">
        <v>97</v>
      </c>
      <c r="E129" s="4" t="n">
        <v>0</v>
      </c>
      <c r="F129" s="4" t="n">
        <v>0</v>
      </c>
      <c r="G129" s="4" t="inlineStr">
        <is>
          <t>Watch list</t>
        </is>
      </c>
      <c r="H129" s="4" t="n">
        <v>0</v>
      </c>
      <c r="I129" s="4" t="inlineStr">
        <is>
          <t>low</t>
        </is>
      </c>
    </row>
    <row r="130">
      <c r="A130" s="4" t="inlineStr">
        <is>
          <t>S06</t>
        </is>
      </c>
      <c r="B130" s="4" t="inlineStr">
        <is>
          <t>2026-10-20</t>
        </is>
      </c>
      <c r="C130" s="4" t="inlineStr">
        <is>
          <t>Quarry Hill Engineering</t>
        </is>
      </c>
      <c r="D130" s="4" t="n">
        <v>96</v>
      </c>
      <c r="E130" s="4" t="n">
        <v>0</v>
      </c>
      <c r="F130" s="4" t="n">
        <v>0</v>
      </c>
      <c r="G130" s="4" t="inlineStr">
        <is>
          <t>Watch list</t>
        </is>
      </c>
      <c r="H130" s="4" t="n">
        <v>0</v>
      </c>
      <c r="I130" s="4" t="inlineStr">
        <is>
          <t>medium</t>
        </is>
      </c>
    </row>
    <row r="131">
      <c r="A131" s="4" t="inlineStr">
        <is>
          <t>S06</t>
        </is>
      </c>
      <c r="B131" s="4" t="inlineStr">
        <is>
          <t>2026-10-20</t>
        </is>
      </c>
      <c r="C131" s="4" t="inlineStr">
        <is>
          <t>Moorland Refining</t>
        </is>
      </c>
      <c r="D131" s="4" t="n">
        <v>94</v>
      </c>
      <c r="E131" s="4" t="n">
        <v>0</v>
      </c>
      <c r="F131" s="4" t="n">
        <v>0</v>
      </c>
      <c r="G131" s="4" t="inlineStr">
        <is>
          <t>Watch list</t>
        </is>
      </c>
      <c r="H131" s="4" t="n">
        <v>0</v>
      </c>
      <c r="I131" s="4" t="inlineStr">
        <is>
          <t>medium</t>
        </is>
      </c>
    </row>
    <row r="132">
      <c r="A132" s="4" t="inlineStr">
        <is>
          <t>S06</t>
        </is>
      </c>
      <c r="B132" s="4" t="inlineStr">
        <is>
          <t>2026-10-20</t>
        </is>
      </c>
      <c r="C132" s="4" t="inlineStr">
        <is>
          <t>Pebblebrook Refining</t>
        </is>
      </c>
      <c r="D132" s="4" t="n">
        <v>85</v>
      </c>
      <c r="E132" s="4" t="n">
        <v>0</v>
      </c>
      <c r="F132" s="4" t="n">
        <v>0</v>
      </c>
      <c r="G132" s="4" t="inlineStr">
        <is>
          <t>Watch list</t>
        </is>
      </c>
      <c r="H132" s="4" t="n">
        <v>0</v>
      </c>
      <c r="I132" s="4" t="inlineStr">
        <is>
          <t>medium</t>
        </is>
      </c>
    </row>
    <row r="133">
      <c r="A133" s="4" t="inlineStr">
        <is>
          <t>S06</t>
        </is>
      </c>
      <c r="B133" s="4" t="inlineStr">
        <is>
          <t>2026-10-20</t>
        </is>
      </c>
      <c r="C133" s="4" t="inlineStr">
        <is>
          <t>Newhaven Petrochem</t>
        </is>
      </c>
      <c r="D133" s="4" t="n">
        <v>75</v>
      </c>
      <c r="E133" s="4" t="n">
        <v>0</v>
      </c>
      <c r="F133" s="4" t="n">
        <v>0</v>
      </c>
      <c r="G133" s="4" t="inlineStr">
        <is>
          <t>Watch list</t>
        </is>
      </c>
      <c r="H133" s="4" t="n">
        <v>0</v>
      </c>
      <c r="I133" s="4" t="inlineStr">
        <is>
          <t>medium</t>
        </is>
      </c>
    </row>
    <row r="134">
      <c r="A134" s="4" t="inlineStr">
        <is>
          <t>S06</t>
        </is>
      </c>
      <c r="B134" s="4" t="inlineStr">
        <is>
          <t>2026-10-20</t>
        </is>
      </c>
      <c r="C134" s="4" t="inlineStr">
        <is>
          <t>Oakridge Water</t>
        </is>
      </c>
      <c r="D134" s="4" t="n">
        <v>60</v>
      </c>
      <c r="E134" s="4" t="n">
        <v>0</v>
      </c>
      <c r="F134" s="4" t="n">
        <v>0</v>
      </c>
      <c r="G134" s="4" t="inlineStr">
        <is>
          <t>Watch list</t>
        </is>
      </c>
      <c r="H134" s="4" t="n">
        <v>0</v>
      </c>
      <c r="I134" s="4" t="inlineStr">
        <is>
          <t>medium</t>
        </is>
      </c>
    </row>
    <row r="135">
      <c r="A135" s="4" t="inlineStr">
        <is>
          <t>S06</t>
        </is>
      </c>
      <c r="B135" s="4" t="inlineStr">
        <is>
          <t>2026-10-20</t>
        </is>
      </c>
      <c r="C135" s="4" t="inlineStr">
        <is>
          <t>Juniper Fuels</t>
        </is>
      </c>
      <c r="D135" s="4" t="n">
        <v>50</v>
      </c>
      <c r="E135" s="4" t="n">
        <v>0</v>
      </c>
      <c r="F135" s="4" t="n">
        <v>0</v>
      </c>
      <c r="G135" s="4" t="inlineStr">
        <is>
          <t>Watch list</t>
        </is>
      </c>
      <c r="H135" s="4" t="n">
        <v>0</v>
      </c>
      <c r="I135" s="4" t="inlineStr">
        <is>
          <t>low</t>
        </is>
      </c>
    </row>
    <row r="136">
      <c r="A136" s="4" t="inlineStr">
        <is>
          <t>S06</t>
        </is>
      </c>
      <c r="B136" s="4" t="inlineStr">
        <is>
          <t>2026-10-20</t>
        </is>
      </c>
      <c r="C136" s="4" t="inlineStr">
        <is>
          <t>Kingsbridge Fuels</t>
        </is>
      </c>
      <c r="D136" s="4" t="n">
        <v>49</v>
      </c>
      <c r="E136" s="4" t="inlineStr"/>
      <c r="F136" s="4" t="inlineStr"/>
      <c r="G136" s="4" t="inlineStr">
        <is>
          <t>Below fit floor</t>
        </is>
      </c>
      <c r="H136" s="4" t="n">
        <v>0</v>
      </c>
      <c r="I136" s="4" t="inlineStr"/>
    </row>
    <row r="137">
      <c r="A137" s="4" t="inlineStr">
        <is>
          <t>S06</t>
        </is>
      </c>
      <c r="B137" s="4" t="inlineStr">
        <is>
          <t>2026-10-20</t>
        </is>
      </c>
      <c r="C137" s="4" t="inlineStr">
        <is>
          <t>Tidewater Refining</t>
        </is>
      </c>
      <c r="D137" s="4" t="inlineStr"/>
      <c r="E137" s="4" t="inlineStr"/>
      <c r="F137" s="4" t="inlineStr"/>
      <c r="G137" s="4" t="inlineStr">
        <is>
          <t>Excluded</t>
        </is>
      </c>
      <c r="H137" s="4" t="n">
        <v>0</v>
      </c>
      <c r="I137" s="4" t="inlineStr">
        <is>
          <t>Outside the pilot region (Australia)</t>
        </is>
      </c>
    </row>
    <row r="138">
      <c r="A138" s="6" t="inlineStr">
        <is>
          <t>S07</t>
        </is>
      </c>
      <c r="B138" s="6" t="inlineStr">
        <is>
          <t>2026-10-20</t>
        </is>
      </c>
      <c r="C138" s="6" t="inlineStr">
        <is>
          <t>Apex Refining</t>
        </is>
      </c>
      <c r="D138" s="6" t="n">
        <v>100</v>
      </c>
      <c r="E138" s="6" t="n">
        <v>50</v>
      </c>
      <c r="F138" s="6" t="n">
        <v>50</v>
      </c>
      <c r="G138" s="6" t="inlineStr">
        <is>
          <t>A</t>
        </is>
      </c>
      <c r="H138" s="6" t="n">
        <v>1</v>
      </c>
      <c r="I138" s="6" t="inlineStr">
        <is>
          <t>medium</t>
        </is>
      </c>
    </row>
    <row r="139">
      <c r="A139" s="6" t="inlineStr">
        <is>
          <t>S07</t>
        </is>
      </c>
      <c r="B139" s="6" t="inlineStr">
        <is>
          <t>2026-10-20</t>
        </is>
      </c>
      <c r="C139" s="6" t="inlineStr">
        <is>
          <t>Rosewood Refining</t>
        </is>
      </c>
      <c r="D139" s="6" t="n">
        <v>97</v>
      </c>
      <c r="E139" s="6" t="n">
        <v>50</v>
      </c>
      <c r="F139" s="6" t="n">
        <v>48.5</v>
      </c>
      <c r="G139" s="6" t="inlineStr">
        <is>
          <t>A</t>
        </is>
      </c>
      <c r="H139" s="6" t="n">
        <v>1</v>
      </c>
      <c r="I139" s="6" t="inlineStr">
        <is>
          <t>low</t>
        </is>
      </c>
    </row>
    <row r="140">
      <c r="A140" s="6" t="inlineStr">
        <is>
          <t>S07</t>
        </is>
      </c>
      <c r="B140" s="6" t="inlineStr">
        <is>
          <t>2026-10-20</t>
        </is>
      </c>
      <c r="C140" s="6" t="inlineStr">
        <is>
          <t>Bayfront Refining</t>
        </is>
      </c>
      <c r="D140" s="6" t="n">
        <v>100</v>
      </c>
      <c r="E140" s="6" t="n">
        <v>0</v>
      </c>
      <c r="F140" s="6" t="n">
        <v>0</v>
      </c>
      <c r="G140" s="6" t="inlineStr">
        <is>
          <t>Watch list</t>
        </is>
      </c>
      <c r="H140" s="6" t="n">
        <v>0</v>
      </c>
      <c r="I140" s="6" t="inlineStr">
        <is>
          <t>medium</t>
        </is>
      </c>
    </row>
    <row r="141">
      <c r="A141" s="6" t="inlineStr">
        <is>
          <t>S07</t>
        </is>
      </c>
      <c r="B141" s="6" t="inlineStr">
        <is>
          <t>2026-10-20</t>
        </is>
      </c>
      <c r="C141" s="6" t="inlineStr">
        <is>
          <t>Coldwater Refining</t>
        </is>
      </c>
      <c r="D141" s="6" t="n">
        <v>100</v>
      </c>
      <c r="E141" s="6" t="n">
        <v>0</v>
      </c>
      <c r="F141" s="6" t="n">
        <v>0</v>
      </c>
      <c r="G141" s="6" t="inlineStr">
        <is>
          <t>Watch list</t>
        </is>
      </c>
      <c r="H141" s="6" t="n">
        <v>0</v>
      </c>
      <c r="I141" s="6" t="inlineStr">
        <is>
          <t>medium</t>
        </is>
      </c>
    </row>
    <row r="142">
      <c r="A142" s="6" t="inlineStr">
        <is>
          <t>S07</t>
        </is>
      </c>
      <c r="B142" s="6" t="inlineStr">
        <is>
          <t>2026-10-20</t>
        </is>
      </c>
      <c r="C142" s="6" t="inlineStr">
        <is>
          <t>Driftwood Refining</t>
        </is>
      </c>
      <c r="D142" s="6" t="n">
        <v>100</v>
      </c>
      <c r="E142" s="6" t="n">
        <v>0</v>
      </c>
      <c r="F142" s="6" t="n">
        <v>0</v>
      </c>
      <c r="G142" s="6" t="inlineStr">
        <is>
          <t>Watch list</t>
        </is>
      </c>
      <c r="H142" s="6" t="n">
        <v>0</v>
      </c>
      <c r="I142" s="6" t="inlineStr">
        <is>
          <t>medium</t>
        </is>
      </c>
    </row>
    <row r="143">
      <c r="A143" s="6" t="inlineStr">
        <is>
          <t>S07</t>
        </is>
      </c>
      <c r="B143" s="6" t="inlineStr">
        <is>
          <t>2026-10-20</t>
        </is>
      </c>
      <c r="C143" s="6" t="inlineStr">
        <is>
          <t>Eastgate Refining</t>
        </is>
      </c>
      <c r="D143" s="6" t="n">
        <v>100</v>
      </c>
      <c r="E143" s="6" t="n">
        <v>0</v>
      </c>
      <c r="F143" s="6" t="n">
        <v>0</v>
      </c>
      <c r="G143" s="6" t="inlineStr">
        <is>
          <t>Watch list</t>
        </is>
      </c>
      <c r="H143" s="6" t="n">
        <v>0</v>
      </c>
      <c r="I143" s="6" t="inlineStr">
        <is>
          <t>medium</t>
        </is>
      </c>
    </row>
    <row r="144">
      <c r="A144" s="6" t="inlineStr">
        <is>
          <t>S07</t>
        </is>
      </c>
      <c r="B144" s="6" t="inlineStr">
        <is>
          <t>2026-10-20</t>
        </is>
      </c>
      <c r="C144" s="6" t="inlineStr">
        <is>
          <t>Fairhaven Refining</t>
        </is>
      </c>
      <c r="D144" s="6" t="n">
        <v>100</v>
      </c>
      <c r="E144" s="6" t="n">
        <v>0</v>
      </c>
      <c r="F144" s="6" t="n">
        <v>0</v>
      </c>
      <c r="G144" s="6" t="inlineStr">
        <is>
          <t>Watch list</t>
        </is>
      </c>
      <c r="H144" s="6" t="n">
        <v>0</v>
      </c>
      <c r="I144" s="6" t="inlineStr">
        <is>
          <t>medium</t>
        </is>
      </c>
    </row>
    <row r="145">
      <c r="A145" s="6" t="inlineStr">
        <is>
          <t>S07</t>
        </is>
      </c>
      <c r="B145" s="6" t="inlineStr">
        <is>
          <t>2026-10-20</t>
        </is>
      </c>
      <c r="C145" s="6" t="inlineStr">
        <is>
          <t>Stonegate Refining</t>
        </is>
      </c>
      <c r="D145" s="6" t="n">
        <v>100</v>
      </c>
      <c r="E145" s="6" t="n">
        <v>0</v>
      </c>
      <c r="F145" s="6" t="n">
        <v>0</v>
      </c>
      <c r="G145" s="6" t="inlineStr">
        <is>
          <t>Watch list</t>
        </is>
      </c>
      <c r="H145" s="6" t="n">
        <v>0</v>
      </c>
      <c r="I145" s="6" t="inlineStr">
        <is>
          <t>medium</t>
        </is>
      </c>
    </row>
    <row r="146">
      <c r="A146" s="6" t="inlineStr">
        <is>
          <t>S07</t>
        </is>
      </c>
      <c r="B146" s="6" t="inlineStr">
        <is>
          <t>2026-10-20</t>
        </is>
      </c>
      <c r="C146" s="6" t="inlineStr">
        <is>
          <t>Larkspur Refining</t>
        </is>
      </c>
      <c r="D146" s="6" t="n">
        <v>97</v>
      </c>
      <c r="E146" s="6" t="n">
        <v>0</v>
      </c>
      <c r="F146" s="6" t="n">
        <v>0</v>
      </c>
      <c r="G146" s="6" t="inlineStr">
        <is>
          <t>Watch list</t>
        </is>
      </c>
      <c r="H146" s="6" t="n">
        <v>0</v>
      </c>
      <c r="I146" s="6" t="inlineStr">
        <is>
          <t>low</t>
        </is>
      </c>
    </row>
    <row r="147">
      <c r="A147" s="6" t="inlineStr">
        <is>
          <t>S07</t>
        </is>
      </c>
      <c r="B147" s="6" t="inlineStr">
        <is>
          <t>2026-10-20</t>
        </is>
      </c>
      <c r="C147" s="6" t="inlineStr">
        <is>
          <t>Quarry Hill Engineering</t>
        </is>
      </c>
      <c r="D147" s="6" t="n">
        <v>96</v>
      </c>
      <c r="E147" s="6" t="n">
        <v>0</v>
      </c>
      <c r="F147" s="6" t="n">
        <v>0</v>
      </c>
      <c r="G147" s="6" t="inlineStr">
        <is>
          <t>Watch list</t>
        </is>
      </c>
      <c r="H147" s="6" t="n">
        <v>0</v>
      </c>
      <c r="I147" s="6" t="inlineStr">
        <is>
          <t>medium</t>
        </is>
      </c>
    </row>
    <row r="148">
      <c r="A148" s="6" t="inlineStr">
        <is>
          <t>S07</t>
        </is>
      </c>
      <c r="B148" s="6" t="inlineStr">
        <is>
          <t>2026-10-20</t>
        </is>
      </c>
      <c r="C148" s="6" t="inlineStr">
        <is>
          <t>Moorland Refining</t>
        </is>
      </c>
      <c r="D148" s="6" t="n">
        <v>94</v>
      </c>
      <c r="E148" s="6" t="n">
        <v>0</v>
      </c>
      <c r="F148" s="6" t="n">
        <v>0</v>
      </c>
      <c r="G148" s="6" t="inlineStr">
        <is>
          <t>Watch list</t>
        </is>
      </c>
      <c r="H148" s="6" t="n">
        <v>0</v>
      </c>
      <c r="I148" s="6" t="inlineStr">
        <is>
          <t>medium</t>
        </is>
      </c>
    </row>
    <row r="149">
      <c r="A149" s="6" t="inlineStr">
        <is>
          <t>S07</t>
        </is>
      </c>
      <c r="B149" s="6" t="inlineStr">
        <is>
          <t>2026-10-20</t>
        </is>
      </c>
      <c r="C149" s="6" t="inlineStr">
        <is>
          <t>Pebblebrook Refining</t>
        </is>
      </c>
      <c r="D149" s="6" t="n">
        <v>85</v>
      </c>
      <c r="E149" s="6" t="n">
        <v>0</v>
      </c>
      <c r="F149" s="6" t="n">
        <v>0</v>
      </c>
      <c r="G149" s="6" t="inlineStr">
        <is>
          <t>Watch list</t>
        </is>
      </c>
      <c r="H149" s="6" t="n">
        <v>0</v>
      </c>
      <c r="I149" s="6" t="inlineStr">
        <is>
          <t>medium</t>
        </is>
      </c>
    </row>
    <row r="150">
      <c r="A150" s="6" t="inlineStr">
        <is>
          <t>S07</t>
        </is>
      </c>
      <c r="B150" s="6" t="inlineStr">
        <is>
          <t>2026-10-20</t>
        </is>
      </c>
      <c r="C150" s="6" t="inlineStr">
        <is>
          <t>Newhaven Petrochem</t>
        </is>
      </c>
      <c r="D150" s="6" t="n">
        <v>75</v>
      </c>
      <c r="E150" s="6" t="n">
        <v>0</v>
      </c>
      <c r="F150" s="6" t="n">
        <v>0</v>
      </c>
      <c r="G150" s="6" t="inlineStr">
        <is>
          <t>Watch list</t>
        </is>
      </c>
      <c r="H150" s="6" t="n">
        <v>0</v>
      </c>
      <c r="I150" s="6" t="inlineStr">
        <is>
          <t>medium</t>
        </is>
      </c>
    </row>
    <row r="151">
      <c r="A151" s="6" t="inlineStr">
        <is>
          <t>S07</t>
        </is>
      </c>
      <c r="B151" s="6" t="inlineStr">
        <is>
          <t>2026-10-20</t>
        </is>
      </c>
      <c r="C151" s="6" t="inlineStr">
        <is>
          <t>Oakridge Water</t>
        </is>
      </c>
      <c r="D151" s="6" t="n">
        <v>60</v>
      </c>
      <c r="E151" s="6" t="n">
        <v>0</v>
      </c>
      <c r="F151" s="6" t="n">
        <v>0</v>
      </c>
      <c r="G151" s="6" t="inlineStr">
        <is>
          <t>Watch list</t>
        </is>
      </c>
      <c r="H151" s="6" t="n">
        <v>0</v>
      </c>
      <c r="I151" s="6" t="inlineStr">
        <is>
          <t>medium</t>
        </is>
      </c>
    </row>
    <row r="152">
      <c r="A152" s="6" t="inlineStr">
        <is>
          <t>S07</t>
        </is>
      </c>
      <c r="B152" s="6" t="inlineStr">
        <is>
          <t>2026-10-20</t>
        </is>
      </c>
      <c r="C152" s="6" t="inlineStr">
        <is>
          <t>Juniper Fuels</t>
        </is>
      </c>
      <c r="D152" s="6" t="n">
        <v>50</v>
      </c>
      <c r="E152" s="6" t="n">
        <v>0</v>
      </c>
      <c r="F152" s="6" t="n">
        <v>0</v>
      </c>
      <c r="G152" s="6" t="inlineStr">
        <is>
          <t>Watch list</t>
        </is>
      </c>
      <c r="H152" s="6" t="n">
        <v>0</v>
      </c>
      <c r="I152" s="6" t="inlineStr">
        <is>
          <t>low</t>
        </is>
      </c>
    </row>
    <row r="153">
      <c r="A153" s="6" t="inlineStr">
        <is>
          <t>S07</t>
        </is>
      </c>
      <c r="B153" s="6" t="inlineStr">
        <is>
          <t>2026-10-20</t>
        </is>
      </c>
      <c r="C153" s="6" t="inlineStr">
        <is>
          <t>Kingsbridge Fuels</t>
        </is>
      </c>
      <c r="D153" s="6" t="n">
        <v>49</v>
      </c>
      <c r="E153" s="6" t="inlineStr"/>
      <c r="F153" s="6" t="inlineStr"/>
      <c r="G153" s="6" t="inlineStr">
        <is>
          <t>Below fit floor</t>
        </is>
      </c>
      <c r="H153" s="6" t="n">
        <v>0</v>
      </c>
      <c r="I153" s="6" t="inlineStr"/>
    </row>
    <row r="154">
      <c r="A154" s="6" t="inlineStr">
        <is>
          <t>S07</t>
        </is>
      </c>
      <c r="B154" s="6" t="inlineStr">
        <is>
          <t>2026-10-20</t>
        </is>
      </c>
      <c r="C154" s="6" t="inlineStr">
        <is>
          <t>Tidewater Refining</t>
        </is>
      </c>
      <c r="D154" s="6" t="inlineStr"/>
      <c r="E154" s="6" t="inlineStr"/>
      <c r="F154" s="6" t="inlineStr"/>
      <c r="G154" s="6" t="inlineStr">
        <is>
          <t>Excluded</t>
        </is>
      </c>
      <c r="H154" s="6" t="n">
        <v>0</v>
      </c>
      <c r="I154" s="6" t="inlineStr">
        <is>
          <t>Outside the pilot region (Australia)</t>
        </is>
      </c>
    </row>
    <row r="155">
      <c r="A155" s="4" t="inlineStr">
        <is>
          <t>G01</t>
        </is>
      </c>
      <c r="B155" s="4" t="inlineStr">
        <is>
          <t>2026-10-20</t>
        </is>
      </c>
      <c r="C155" s="4" t="inlineStr">
        <is>
          <t>Apex Refining</t>
        </is>
      </c>
      <c r="D155" s="4" t="n">
        <v>100</v>
      </c>
      <c r="E155" s="4" t="n">
        <v>92.09999999999999</v>
      </c>
      <c r="F155" s="4" t="n">
        <v>92.09999999999999</v>
      </c>
      <c r="G155" s="4" t="inlineStr">
        <is>
          <t>A</t>
        </is>
      </c>
      <c r="H155" s="4" t="n">
        <v>9</v>
      </c>
      <c r="I155" s="4" t="inlineStr">
        <is>
          <t>high</t>
        </is>
      </c>
    </row>
    <row r="156">
      <c r="A156" s="6" t="inlineStr">
        <is>
          <t>G02</t>
        </is>
      </c>
      <c r="B156" s="6" t="inlineStr">
        <is>
          <t>2026-10-20</t>
        </is>
      </c>
      <c r="C156" s="6" t="inlineStr">
        <is>
          <t>Apex Refining</t>
        </is>
      </c>
      <c r="D156" s="6" t="n">
        <v>100</v>
      </c>
      <c r="E156" s="6" t="n">
        <v>48.8</v>
      </c>
      <c r="F156" s="6" t="n">
        <v>48.8</v>
      </c>
      <c r="G156" s="6" t="inlineStr">
        <is>
          <t>A</t>
        </is>
      </c>
      <c r="H156" s="6" t="n">
        <v>3</v>
      </c>
      <c r="I156" s="6" t="inlineStr">
        <is>
          <t>high</t>
        </is>
      </c>
    </row>
    <row r="157">
      <c r="A157" s="6" t="inlineStr">
        <is>
          <t>G02</t>
        </is>
      </c>
      <c r="B157" s="6" t="inlineStr">
        <is>
          <t>2026-10-20</t>
        </is>
      </c>
      <c r="C157" s="6" t="inlineStr">
        <is>
          <t>Tidewater Refining</t>
        </is>
      </c>
      <c r="D157" s="6" t="inlineStr"/>
      <c r="E157" s="6" t="inlineStr"/>
      <c r="F157" s="6" t="inlineStr"/>
      <c r="G157" s="6" t="inlineStr">
        <is>
          <t>Excluded</t>
        </is>
      </c>
      <c r="H157" s="6" t="n">
        <v>0</v>
      </c>
      <c r="I157" s="6" t="inlineStr">
        <is>
          <t>Outside the pilot region (Australia)</t>
        </is>
      </c>
    </row>
    <row r="158">
      <c r="A158" s="4" t="inlineStr">
        <is>
          <t>G03</t>
        </is>
      </c>
      <c r="B158" s="4" t="inlineStr">
        <is>
          <t>2026-10-20</t>
        </is>
      </c>
      <c r="C158" s="4" t="inlineStr">
        <is>
          <t>Apex Refining</t>
        </is>
      </c>
      <c r="D158" s="4" t="n">
        <v>100</v>
      </c>
      <c r="E158" s="4" t="n">
        <v>50.6</v>
      </c>
      <c r="F158" s="4" t="n">
        <v>50.6</v>
      </c>
      <c r="G158" s="4" t="inlineStr">
        <is>
          <t>A</t>
        </is>
      </c>
      <c r="H158" s="4" t="n">
        <v>4</v>
      </c>
      <c r="I158" s="4" t="inlineStr">
        <is>
          <t>high</t>
        </is>
      </c>
    </row>
    <row r="159">
      <c r="A159" s="4" t="inlineStr">
        <is>
          <t>G03</t>
        </is>
      </c>
      <c r="B159" s="4" t="inlineStr">
        <is>
          <t>2026-10-20</t>
        </is>
      </c>
      <c r="C159" s="4" t="inlineStr">
        <is>
          <t>Bayfront Refining</t>
        </is>
      </c>
      <c r="D159" s="4" t="n">
        <v>100</v>
      </c>
      <c r="E159" s="4" t="n">
        <v>50</v>
      </c>
      <c r="F159" s="4" t="n">
        <v>50</v>
      </c>
      <c r="G159" s="4" t="inlineStr">
        <is>
          <t>A</t>
        </is>
      </c>
      <c r="H159" s="4" t="n">
        <v>1</v>
      </c>
      <c r="I159" s="4" t="inlineStr">
        <is>
          <t>medium</t>
        </is>
      </c>
    </row>
    <row r="160">
      <c r="A160" s="4" t="inlineStr">
        <is>
          <t>G03</t>
        </is>
      </c>
      <c r="B160" s="4" t="inlineStr">
        <is>
          <t>2026-10-20</t>
        </is>
      </c>
      <c r="C160" s="4" t="inlineStr">
        <is>
          <t>Larkspur Refining</t>
        </is>
      </c>
      <c r="D160" s="4" t="n">
        <v>97</v>
      </c>
      <c r="E160" s="4" t="n">
        <v>50</v>
      </c>
      <c r="F160" s="4" t="n">
        <v>48.5</v>
      </c>
      <c r="G160" s="4" t="inlineStr">
        <is>
          <t>A</t>
        </is>
      </c>
      <c r="H160" s="4" t="n">
        <v>1</v>
      </c>
      <c r="I160" s="4" t="inlineStr">
        <is>
          <t>low</t>
        </is>
      </c>
    </row>
    <row r="161">
      <c r="A161" s="4" t="inlineStr">
        <is>
          <t>G03</t>
        </is>
      </c>
      <c r="B161" s="4" t="inlineStr">
        <is>
          <t>2026-10-20</t>
        </is>
      </c>
      <c r="C161" s="4" t="inlineStr">
        <is>
          <t>Rosewood Refining</t>
        </is>
      </c>
      <c r="D161" s="4" t="n">
        <v>97</v>
      </c>
      <c r="E161" s="4" t="n">
        <v>50</v>
      </c>
      <c r="F161" s="4" t="n">
        <v>48.5</v>
      </c>
      <c r="G161" s="4" t="inlineStr">
        <is>
          <t>A</t>
        </is>
      </c>
      <c r="H161" s="4" t="n">
        <v>1</v>
      </c>
      <c r="I161" s="4" t="inlineStr">
        <is>
          <t>low</t>
        </is>
      </c>
    </row>
    <row r="162">
      <c r="A162" s="6" t="inlineStr">
        <is>
          <t>G04</t>
        </is>
      </c>
      <c r="B162" s="6" t="inlineStr">
        <is>
          <t>2026-10-20</t>
        </is>
      </c>
      <c r="C162" s="6" t="inlineStr">
        <is>
          <t>Apex Refining</t>
        </is>
      </c>
      <c r="D162" s="6" t="n">
        <v>100</v>
      </c>
      <c r="E162" s="6" t="n">
        <v>45</v>
      </c>
      <c r="F162" s="6" t="n">
        <v>45</v>
      </c>
      <c r="G162" s="6" t="inlineStr">
        <is>
          <t>A</t>
        </is>
      </c>
      <c r="H162" s="6" t="n">
        <v>2</v>
      </c>
      <c r="I162" s="6" t="inlineStr">
        <is>
          <t>high</t>
        </is>
      </c>
    </row>
    <row r="163">
      <c r="A163" s="4" t="inlineStr">
        <is>
          <t>G05</t>
        </is>
      </c>
      <c r="B163" s="4" t="inlineStr">
        <is>
          <t>2026-10-20</t>
        </is>
      </c>
      <c r="C163" s="4" t="inlineStr">
        <is>
          <t>Apex Refining</t>
        </is>
      </c>
      <c r="D163" s="4" t="n">
        <v>100</v>
      </c>
      <c r="E163" s="4" t="n">
        <v>65</v>
      </c>
      <c r="F163" s="4" t="n">
        <v>65</v>
      </c>
      <c r="G163" s="4" t="inlineStr">
        <is>
          <t>A</t>
        </is>
      </c>
      <c r="H163" s="4" t="n">
        <v>2</v>
      </c>
      <c r="I163" s="4" t="inlineStr">
        <is>
          <t>high</t>
        </is>
      </c>
    </row>
    <row r="164">
      <c r="A164" s="6" t="inlineStr">
        <is>
          <t>G06</t>
        </is>
      </c>
      <c r="B164" s="6" t="inlineStr">
        <is>
          <t>2026-10-20</t>
        </is>
      </c>
      <c r="C164" s="6" t="inlineStr">
        <is>
          <t>Apex Refining</t>
        </is>
      </c>
      <c r="D164" s="6" t="n">
        <v>100</v>
      </c>
      <c r="E164" s="6" t="n">
        <v>52.5</v>
      </c>
      <c r="F164" s="6" t="n">
        <v>52.5</v>
      </c>
      <c r="G164" s="6" t="inlineStr">
        <is>
          <t>A</t>
        </is>
      </c>
      <c r="H164" s="6" t="n">
        <v>3</v>
      </c>
      <c r="I164" s="6" t="inlineStr">
        <is>
          <t>high</t>
        </is>
      </c>
    </row>
    <row r="165">
      <c r="A165" s="6" t="inlineStr">
        <is>
          <t>G06</t>
        </is>
      </c>
      <c r="B165" s="6" t="inlineStr">
        <is>
          <t>2026-10-20</t>
        </is>
      </c>
      <c r="C165" s="6" t="inlineStr">
        <is>
          <t>Bayfront Refining</t>
        </is>
      </c>
      <c r="D165" s="6" t="n">
        <v>100</v>
      </c>
      <c r="E165" s="6" t="n">
        <v>30</v>
      </c>
      <c r="F165" s="6" t="n">
        <v>30</v>
      </c>
      <c r="G165" s="6" t="inlineStr">
        <is>
          <t>B</t>
        </is>
      </c>
      <c r="H165" s="6" t="n">
        <v>1</v>
      </c>
      <c r="I165" s="6" t="inlineStr">
        <is>
          <t>medium</t>
        </is>
      </c>
    </row>
    <row r="166">
      <c r="A166" s="4" t="inlineStr">
        <is>
          <t>G07</t>
        </is>
      </c>
      <c r="B166" s="4" t="inlineStr">
        <is>
          <t>2026-10-20</t>
        </is>
      </c>
      <c r="C166" s="4" t="inlineStr">
        <is>
          <t>Apex Refining</t>
        </is>
      </c>
      <c r="D166" s="4" t="n">
        <v>100</v>
      </c>
      <c r="E166" s="4" t="n">
        <v>1.1</v>
      </c>
      <c r="F166" s="4" t="n">
        <v>1.1</v>
      </c>
      <c r="G166" s="4" t="inlineStr">
        <is>
          <t>C</t>
        </is>
      </c>
      <c r="H166" s="4" t="n">
        <v>9</v>
      </c>
      <c r="I166" s="4" t="inlineStr">
        <is>
          <t>high</t>
        </is>
      </c>
    </row>
    <row r="167">
      <c r="A167" s="4" t="inlineStr">
        <is>
          <t>G07</t>
        </is>
      </c>
      <c r="B167" s="4" t="inlineStr">
        <is>
          <t>2026-10-20</t>
        </is>
      </c>
      <c r="C167" s="4" t="inlineStr">
        <is>
          <t>Bayfront Refining</t>
        </is>
      </c>
      <c r="D167" s="4" t="n">
        <v>100</v>
      </c>
      <c r="E167" s="4" t="n">
        <v>0</v>
      </c>
      <c r="F167" s="4" t="n">
        <v>0</v>
      </c>
      <c r="G167" s="4" t="inlineStr">
        <is>
          <t>Watch list</t>
        </is>
      </c>
      <c r="H167" s="4" t="n">
        <v>0</v>
      </c>
      <c r="I167" s="4" t="inlineStr">
        <is>
          <t>medium</t>
        </is>
      </c>
    </row>
    <row r="168">
      <c r="A168" s="6" t="inlineStr">
        <is>
          <t>G08</t>
        </is>
      </c>
      <c r="B168" s="6" t="inlineStr">
        <is>
          <t>2026-10-20</t>
        </is>
      </c>
      <c r="C168" s="6" t="inlineStr">
        <is>
          <t>Apex Refining</t>
        </is>
      </c>
      <c r="D168" s="6" t="n">
        <v>100</v>
      </c>
      <c r="E168" s="6" t="n">
        <v>88.2</v>
      </c>
      <c r="F168" s="6" t="n">
        <v>88.2</v>
      </c>
      <c r="G168" s="6" t="inlineStr">
        <is>
          <t>A</t>
        </is>
      </c>
      <c r="H168" s="6" t="n">
        <v>9</v>
      </c>
      <c r="I168" s="6" t="inlineStr">
        <is>
          <t>high</t>
        </is>
      </c>
    </row>
    <row r="169">
      <c r="A169" s="4" t="inlineStr">
        <is>
          <t>G09</t>
        </is>
      </c>
      <c r="B169" s="4" t="inlineStr">
        <is>
          <t>2026-10-20</t>
        </is>
      </c>
      <c r="C169" s="4" t="inlineStr">
        <is>
          <t>Bayfront Refining</t>
        </is>
      </c>
      <c r="D169" s="4" t="n">
        <v>100</v>
      </c>
      <c r="E169" s="4" t="n">
        <v>50</v>
      </c>
      <c r="F169" s="4" t="n">
        <v>50</v>
      </c>
      <c r="G169" s="4" t="inlineStr">
        <is>
          <t>A</t>
        </is>
      </c>
      <c r="H169" s="4" t="n">
        <v>1</v>
      </c>
      <c r="I169" s="4" t="inlineStr">
        <is>
          <t>medium</t>
        </is>
      </c>
    </row>
    <row r="170">
      <c r="A170" s="4" t="inlineStr">
        <is>
          <t>G09</t>
        </is>
      </c>
      <c r="B170" s="4" t="inlineStr">
        <is>
          <t>2026-10-20</t>
        </is>
      </c>
      <c r="C170" s="4" t="inlineStr">
        <is>
          <t>Apex Refining</t>
        </is>
      </c>
      <c r="D170" s="4" t="n">
        <v>100</v>
      </c>
      <c r="E170" s="4" t="n">
        <v>30</v>
      </c>
      <c r="F170" s="4" t="n">
        <v>30</v>
      </c>
      <c r="G170" s="4" t="inlineStr">
        <is>
          <t>B</t>
        </is>
      </c>
      <c r="H170" s="4" t="n">
        <v>1</v>
      </c>
      <c r="I170" s="4" t="inlineStr">
        <is>
          <t>medium</t>
        </is>
      </c>
    </row>
    <row r="171">
      <c r="A171" s="6" t="inlineStr">
        <is>
          <t>G10</t>
        </is>
      </c>
      <c r="B171" s="6" t="inlineStr">
        <is>
          <t>2026-10-20</t>
        </is>
      </c>
      <c r="C171" s="6" t="inlineStr">
        <is>
          <t>Bayfront Refining</t>
        </is>
      </c>
      <c r="D171" s="6" t="n">
        <v>100</v>
      </c>
      <c r="E171" s="6" t="n">
        <v>50</v>
      </c>
      <c r="F171" s="6" t="n">
        <v>50</v>
      </c>
      <c r="G171" s="6" t="inlineStr">
        <is>
          <t>A</t>
        </is>
      </c>
      <c r="H171" s="6" t="n">
        <v>1</v>
      </c>
      <c r="I171" s="6" t="inlineStr">
        <is>
          <t>medium</t>
        </is>
      </c>
    </row>
    <row r="172">
      <c r="A172" s="6" t="inlineStr">
        <is>
          <t>G10</t>
        </is>
      </c>
      <c r="B172" s="6" t="inlineStr">
        <is>
          <t>2026-10-20</t>
        </is>
      </c>
      <c r="C172" s="6" t="inlineStr">
        <is>
          <t>Apex Refining</t>
        </is>
      </c>
      <c r="D172" s="6" t="n">
        <v>100</v>
      </c>
      <c r="E172" s="6" t="n">
        <v>30</v>
      </c>
      <c r="F172" s="6" t="n">
        <v>30</v>
      </c>
      <c r="G172" s="6" t="inlineStr">
        <is>
          <t>B</t>
        </is>
      </c>
      <c r="H172" s="6" t="n">
        <v>1</v>
      </c>
      <c r="I172" s="6" t="inlineStr">
        <is>
          <t>medium</t>
        </is>
      </c>
    </row>
    <row r="173">
      <c r="A173" s="4" t="inlineStr">
        <is>
          <t>G13</t>
        </is>
      </c>
      <c r="B173" s="4" t="inlineStr">
        <is>
          <t>2026-10-20</t>
        </is>
      </c>
      <c r="C173" s="4" t="inlineStr">
        <is>
          <t>Apex Refining</t>
        </is>
      </c>
      <c r="D173" s="4" t="n">
        <v>100</v>
      </c>
      <c r="E173" s="4" t="n">
        <v>50</v>
      </c>
      <c r="F173" s="4" t="n">
        <v>50</v>
      </c>
      <c r="G173" s="4" t="inlineStr">
        <is>
          <t>A</t>
        </is>
      </c>
      <c r="H173" s="4" t="n">
        <v>1</v>
      </c>
      <c r="I173" s="4" t="inlineStr">
        <is>
          <t>medium</t>
        </is>
      </c>
    </row>
    <row r="174">
      <c r="A174" s="4" t="inlineStr">
        <is>
          <t>G13</t>
        </is>
      </c>
      <c r="B174" s="4" t="inlineStr">
        <is>
          <t>2026-10-20</t>
        </is>
      </c>
      <c r="C174" s="4" t="inlineStr">
        <is>
          <t>Bayfront Refining</t>
        </is>
      </c>
      <c r="D174" s="4" t="n">
        <v>100</v>
      </c>
      <c r="E174" s="4" t="n">
        <v>30</v>
      </c>
      <c r="F174" s="4" t="n">
        <v>30</v>
      </c>
      <c r="G174" s="4" t="inlineStr">
        <is>
          <t>B</t>
        </is>
      </c>
      <c r="H174" s="4" t="n">
        <v>1</v>
      </c>
      <c r="I174" s="4" t="inlineStr">
        <is>
          <t>medium</t>
        </is>
      </c>
    </row>
    <row r="175">
      <c r="A175" s="6" t="inlineStr">
        <is>
          <t>G14</t>
        </is>
      </c>
      <c r="B175" s="6" t="inlineStr">
        <is>
          <t>2026-10-20</t>
        </is>
      </c>
      <c r="C175" s="6" t="inlineStr">
        <is>
          <t>Apex Refining</t>
        </is>
      </c>
      <c r="D175" s="6" t="n">
        <v>100</v>
      </c>
      <c r="E175" s="6" t="n">
        <v>50</v>
      </c>
      <c r="F175" s="6" t="n">
        <v>50</v>
      </c>
      <c r="G175" s="6" t="inlineStr">
        <is>
          <t>A</t>
        </is>
      </c>
      <c r="H175" s="6" t="n">
        <v>1</v>
      </c>
      <c r="I175" s="6" t="inlineStr">
        <is>
          <t>medium</t>
        </is>
      </c>
    </row>
    <row r="176">
      <c r="A176" s="6" t="inlineStr">
        <is>
          <t>G14</t>
        </is>
      </c>
      <c r="B176" s="6" t="inlineStr">
        <is>
          <t>2026-10-20</t>
        </is>
      </c>
      <c r="C176" s="6" t="inlineStr">
        <is>
          <t>Kingsbridge Fuels</t>
        </is>
      </c>
      <c r="D176" s="6" t="n">
        <v>49</v>
      </c>
      <c r="E176" s="6" t="inlineStr"/>
      <c r="F176" s="6" t="inlineStr"/>
      <c r="G176" s="6" t="inlineStr">
        <is>
          <t>Below fit floor</t>
        </is>
      </c>
      <c r="H176" s="6" t="n">
        <v>0</v>
      </c>
      <c r="I176" s="6" t="inlineStr"/>
    </row>
    <row r="177">
      <c r="A177" s="6" t="inlineStr">
        <is>
          <t>G14</t>
        </is>
      </c>
      <c r="B177" s="6" t="inlineStr">
        <is>
          <t>2026-10-20</t>
        </is>
      </c>
      <c r="C177" s="6" t="inlineStr">
        <is>
          <t>Tidewater Refining</t>
        </is>
      </c>
      <c r="D177" s="6" t="inlineStr"/>
      <c r="E177" s="6" t="inlineStr"/>
      <c r="F177" s="6" t="inlineStr"/>
      <c r="G177" s="6" t="inlineStr">
        <is>
          <t>Excluded</t>
        </is>
      </c>
      <c r="H177" s="6" t="n">
        <v>0</v>
      </c>
      <c r="I177" s="6" t="inlineStr">
        <is>
          <t>Outside the pilot region (Australia)</t>
        </is>
      </c>
    </row>
  </sheetData>
  <autoFilter ref="A1:I1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Folder</t>
        </is>
      </c>
      <c r="B1" s="8" t="inlineStr">
        <is>
          <t>Files</t>
        </is>
      </c>
      <c r="C1" s="8" t="inlineStr">
        <is>
          <t>Not run</t>
        </is>
      </c>
      <c r="D1" s="8" t="inlineStr">
        <is>
          <t>Pass</t>
        </is>
      </c>
      <c r="E1" s="8" t="inlineStr">
        <is>
          <t>Fail</t>
        </is>
      </c>
      <c r="F1" s="8" t="inlineStr">
        <is>
          <t>Blocked</t>
        </is>
      </c>
      <c r="G1" s="8" t="inlineStr">
        <is>
          <t>Not in scope</t>
        </is>
      </c>
    </row>
    <row r="2">
      <c r="A2" s="9" t="inlineStr">
        <is>
          <t>1-Prospecting</t>
        </is>
      </c>
      <c r="B2" s="9">
        <f>COUNTIF(Files!$B:$B,A2)</f>
        <v/>
      </c>
      <c r="C2" s="9">
        <f>COUNTIFS(Files!$B:$B,$A2,Files!$J:$J,"Not run")</f>
        <v/>
      </c>
      <c r="D2" s="9">
        <f>COUNTIFS(Files!$B:$B,$A2,Files!$J:$J,"Pass")</f>
        <v/>
      </c>
      <c r="E2" s="9">
        <f>COUNTIFS(Files!$B:$B,$A2,Files!$J:$J,"Fail")</f>
        <v/>
      </c>
      <c r="F2" s="9">
        <f>COUNTIFS(Files!$B:$B,$A2,Files!$J:$J,"Blocked")</f>
        <v/>
      </c>
      <c r="G2" s="9">
        <f>COUNTIFS(Files!$B:$B,$A2,Files!$J:$J,"Not in scope")</f>
        <v/>
      </c>
    </row>
    <row r="3">
      <c r="A3" s="9" t="inlineStr">
        <is>
          <t>2-Account-Scoring</t>
        </is>
      </c>
      <c r="B3" s="9">
        <f>COUNTIF(Files!$B:$B,A3)</f>
        <v/>
      </c>
      <c r="C3" s="9">
        <f>COUNTIFS(Files!$B:$B,$A3,Files!$J:$J,"Not run")</f>
        <v/>
      </c>
      <c r="D3" s="9">
        <f>COUNTIFS(Files!$B:$B,$A3,Files!$J:$J,"Pass")</f>
        <v/>
      </c>
      <c r="E3" s="9">
        <f>COUNTIFS(Files!$B:$B,$A3,Files!$J:$J,"Fail")</f>
        <v/>
      </c>
      <c r="F3" s="9">
        <f>COUNTIFS(Files!$B:$B,$A3,Files!$J:$J,"Blocked")</f>
        <v/>
      </c>
      <c r="G3" s="9">
        <f>COUNTIFS(Files!$B:$B,$A3,Files!$J:$J,"Not in scope")</f>
        <v/>
      </c>
    </row>
    <row r="4">
      <c r="A4" s="9" t="inlineStr">
        <is>
          <t>3-Signal-rules</t>
        </is>
      </c>
      <c r="B4" s="9">
        <f>COUNTIF(Files!$B:$B,A4)</f>
        <v/>
      </c>
      <c r="C4" s="9">
        <f>COUNTIFS(Files!$B:$B,$A4,Files!$J:$J,"Not run")</f>
        <v/>
      </c>
      <c r="D4" s="9">
        <f>COUNTIFS(Files!$B:$B,$A4,Files!$J:$J,"Pass")</f>
        <v/>
      </c>
      <c r="E4" s="9">
        <f>COUNTIFS(Files!$B:$B,$A4,Files!$J:$J,"Fail")</f>
        <v/>
      </c>
      <c r="F4" s="9">
        <f>COUNTIFS(Files!$B:$B,$A4,Files!$J:$J,"Blocked")</f>
        <v/>
      </c>
      <c r="G4" s="9">
        <f>COUNTIFS(Files!$B:$B,$A4,Files!$J:$J,"Not in scope")</f>
        <v/>
      </c>
    </row>
    <row r="5">
      <c r="A5" s="9" t="inlineStr">
        <is>
          <t>4-Micro-segments-and-Review</t>
        </is>
      </c>
      <c r="B5" s="9">
        <f>COUNTIF(Files!$B:$B,A5)</f>
        <v/>
      </c>
      <c r="C5" s="9">
        <f>COUNTIFS(Files!$B:$B,$A5,Files!$J:$J,"Not run")</f>
        <v/>
      </c>
      <c r="D5" s="9">
        <f>COUNTIFS(Files!$B:$B,$A5,Files!$J:$J,"Pass")</f>
        <v/>
      </c>
      <c r="E5" s="9">
        <f>COUNTIFS(Files!$B:$B,$A5,Files!$J:$J,"Fail")</f>
        <v/>
      </c>
      <c r="F5" s="9">
        <f>COUNTIFS(Files!$B:$B,$A5,Files!$J:$J,"Blocked")</f>
        <v/>
      </c>
      <c r="G5" s="9">
        <f>COUNTIFS(Files!$B:$B,$A5,Files!$J:$J,"Not in scope")</f>
        <v/>
      </c>
    </row>
    <row r="6">
      <c r="A6" s="10" t="inlineStr">
        <is>
          <t>Total</t>
        </is>
      </c>
      <c r="B6" s="10">
        <f>SUM(B2:B5)</f>
        <v/>
      </c>
      <c r="C6" s="10">
        <f>SUM(C2:C5)</f>
        <v/>
      </c>
      <c r="D6" s="10">
        <f>SUM(D2:D5)</f>
        <v/>
      </c>
      <c r="E6" s="10">
        <f>SUM(E2:E5)</f>
        <v/>
      </c>
      <c r="F6" s="10">
        <f>SUM(F2:F5)</f>
        <v/>
      </c>
      <c r="G6" s="10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2026-10-22T09:36:13Z</dcterms:created>
  <dcterms:modified xmlns:dcterms="http://purl.org/dc/terms/" xmlns:xsi="http://www.w3.org/2001/XMLSchema-instance" xsi:type="dcterms:W3CDTF">2026-10-22T09:36:14Z</dcterms:modified>
</cp:coreProperties>
</file>