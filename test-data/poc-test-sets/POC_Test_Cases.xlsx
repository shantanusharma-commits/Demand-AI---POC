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sets" sheetId="4" state="visible" r:id="rId4"/>
  </sheets>
  <definedNames>
    <definedName name="_xlnm._FilterDatabase" localSheetId="1" hidden="1">'Test cases'!$A$1:$M$164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POC test cases: 163 cases across 8 modules</t>
        </is>
      </c>
    </row>
    <row r="2">
      <c r="A2" s="2" t="inlineStr">
        <is>
          <t>Each case names the dataset to use, the steps and the expected result. Expected results were produced by running the dataset through the POC's own rules engine.</t>
        </is>
      </c>
    </row>
    <row r="3">
      <c r="A3" s="2" t="inlineStr"/>
    </row>
    <row r="4">
      <c r="A4" s="2" t="inlineStr">
        <is>
          <t>How to use it in the test window:</t>
        </is>
      </c>
    </row>
    <row r="5">
      <c r="A5" s="2" t="inlineStr">
        <is>
          <t>1. Filter "Test cases" by Module for the day's module (see the Scrum Tracker). Run the High-priority cases first.</t>
        </is>
      </c>
    </row>
    <row r="6">
      <c r="A6" s="2" t="inlineStr">
        <is>
          <t>2. Set Status to Pass, Fail, Blocked or Not in scope, and write what actually happened in "Actual result" when it differs.</t>
        </is>
      </c>
    </row>
    <row r="7">
      <c r="A7" s="2" t="inlineStr">
        <is>
          <t>3. For every Fail, add a row in the Gap Log of the project plan and put its ID in "Gap ID".</t>
        </is>
      </c>
    </row>
    <row r="8">
      <c r="A8" s="2" t="inlineStr">
        <is>
          <t>4. "Summary" counts cases by module and status, for the Scrum Tracker columns "Cases planned / run / passed".</t>
        </is>
      </c>
    </row>
    <row r="9">
      <c r="A9" s="2" t="inlineStr"/>
    </row>
    <row r="10">
      <c r="A10" s="2" t="inlineStr">
        <is>
          <t>Score as of: always 2026-10-20 unless the case gives another date (TS11).</t>
        </is>
      </c>
    </row>
    <row r="11">
      <c r="A11" s="2" t="inlineStr">
        <is>
          <t>Cases whose expected result starts with "SHOULD" are known gaps: the engine does something else today. They are expected to fail until fixed; log them once.</t>
        </is>
      </c>
    </row>
    <row r="12">
      <c r="A12" s="2" t="inlineStr">
        <is>
          <t>Micro-segments normally come from Scoring, so TS6 to TS10 all go Prospecting &gt; Scoring &gt; Micro-segments. TS4 is only for the separate "Upload a CSV" route; mark it Not in scope if that route is not part of the POC.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50" customWidth="1" min="5" max="5"/>
    <col width="50" customWidth="1" min="6" max="6"/>
    <col width="60" customWidth="1" min="7" max="7"/>
    <col width="9" customWidth="1" min="8" max="8"/>
    <col width="11" customWidth="1" min="9" max="9"/>
    <col width="40" customWidth="1" min="10" max="10"/>
    <col width="9" customWidth="1" min="11" max="11"/>
    <col width="11" customWidth="1" min="12" max="12"/>
    <col width="30" customWidth="1" min="13" max="13"/>
  </cols>
  <sheetData>
    <row r="1">
      <c r="A1" s="3" t="inlineStr">
        <is>
          <t>ID</t>
        </is>
      </c>
      <c r="B1" s="3" t="inlineStr">
        <is>
          <t>Module</t>
        </is>
      </c>
      <c r="C1" s="3" t="inlineStr">
        <is>
          <t>Area</t>
        </is>
      </c>
      <c r="D1" s="3" t="inlineStr">
        <is>
          <t>Dataset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Actual result</t>
        </is>
      </c>
      <c r="K1" s="3" t="inlineStr">
        <is>
          <t>Gap ID</t>
        </is>
      </c>
      <c r="L1" s="3" t="inlineStr">
        <is>
          <t>Tested on</t>
        </is>
      </c>
      <c r="M1" s="3" t="inlineStr">
        <is>
          <t>Notes</t>
        </is>
      </c>
    </row>
    <row r="2">
      <c r="A2" s="4" t="inlineStr">
        <is>
          <t>PR-001</t>
        </is>
      </c>
      <c r="B2" s="4" t="inlineStr">
        <is>
          <t>Prospecting</t>
        </is>
      </c>
      <c r="C2" s="4" t="inlineStr">
        <is>
          <t>Upload</t>
        </is>
      </c>
      <c r="D2" s="4" t="inlineStr">
        <is>
          <t>TS1</t>
        </is>
      </c>
      <c r="E2" s="4" t="inlineStr">
        <is>
          <t>Upload a clean lead file</t>
        </is>
      </c>
      <c r="F2" s="4" t="inlineStr">
        <is>
          <t>Upload TS1_End_to_end.xlsx in Prospecting.</t>
        </is>
      </c>
      <c r="G2" s="4" t="inlineStr">
        <is>
          <t>48 rows read, 0 issues, 16 accounts, 16 passing, 48 contacts in the final list.</t>
        </is>
      </c>
      <c r="H2" s="4" t="inlineStr">
        <is>
          <t>High</t>
        </is>
      </c>
      <c r="I2" s="4" t="inlineStr">
        <is>
          <t>Not run</t>
        </is>
      </c>
      <c r="J2" s="5" t="inlineStr"/>
      <c r="K2" s="5" t="inlineStr"/>
      <c r="L2" s="6" t="inlineStr"/>
      <c r="M2" s="5" t="inlineStr"/>
    </row>
    <row r="3">
      <c r="A3" s="4" t="inlineStr">
        <is>
          <t>PR-002</t>
        </is>
      </c>
      <c r="B3" s="4" t="inlineStr">
        <is>
          <t>Prospecting</t>
        </is>
      </c>
      <c r="C3" s="4" t="inlineStr">
        <is>
          <t>Upload</t>
        </is>
      </c>
      <c r="D3" s="4" t="inlineStr">
        <is>
          <t>TS1</t>
        </is>
      </c>
      <c r="E3" s="4" t="inlineStr">
        <is>
          <t>Picks the right sheet in a workbook with several</t>
        </is>
      </c>
      <c r="F3" s="4" t="inlineStr">
        <is>
          <t>Upload TS1_End_to_end.xlsx (it has lead, signal and answer-key sheets).</t>
        </is>
      </c>
      <c r="G3" s="4" t="inlineStr">
        <is>
          <t>Prospecting reads "Lead template" and ignores the other sheets.</t>
        </is>
      </c>
      <c r="H3" s="4" t="inlineStr">
        <is>
          <t>High</t>
        </is>
      </c>
      <c r="I3" s="4" t="inlineStr">
        <is>
          <t>Not run</t>
        </is>
      </c>
      <c r="J3" s="5" t="inlineStr"/>
      <c r="K3" s="5" t="inlineStr"/>
      <c r="L3" s="6" t="inlineStr"/>
      <c r="M3" s="5" t="inlineStr"/>
    </row>
    <row r="4">
      <c r="A4" s="4" t="inlineStr">
        <is>
          <t>PR-003</t>
        </is>
      </c>
      <c r="B4" s="4" t="inlineStr">
        <is>
          <t>Prospecting</t>
        </is>
      </c>
      <c r="C4" s="4" t="inlineStr">
        <is>
          <t>Save list</t>
        </is>
      </c>
      <c r="D4" s="4" t="inlineStr">
        <is>
          <t>TS1</t>
        </is>
      </c>
      <c r="E4" s="4" t="inlineStr">
        <is>
          <t>Save the list and find it in Scoring</t>
        </is>
      </c>
      <c r="F4" s="4" t="inlineStr">
        <is>
          <t>After the upload, save the list as "TS1". Open Account Scoring.</t>
        </is>
      </c>
      <c r="G4" s="4" t="inlineStr">
        <is>
          <t>The list "TS1" is offered in Account Scoring with 16 accounts.</t>
        </is>
      </c>
      <c r="H4" s="4" t="inlineStr">
        <is>
          <t>High</t>
        </is>
      </c>
      <c r="I4" s="4" t="inlineStr">
        <is>
          <t>Not run</t>
        </is>
      </c>
      <c r="J4" s="5" t="inlineStr"/>
      <c r="K4" s="5" t="inlineStr"/>
      <c r="L4" s="6" t="inlineStr"/>
      <c r="M4" s="5" t="inlineStr"/>
    </row>
    <row r="5">
      <c r="A5" s="4" t="inlineStr">
        <is>
          <t>PR-004</t>
        </is>
      </c>
      <c r="B5" s="4" t="inlineStr">
        <is>
          <t>Prospecting</t>
        </is>
      </c>
      <c r="C5" s="4" t="inlineStr">
        <is>
          <t>Download</t>
        </is>
      </c>
      <c r="D5" s="4" t="inlineStr">
        <is>
          <t>TS1</t>
        </is>
      </c>
      <c r="E5" s="4" t="inlineStr">
        <is>
          <t>Download the final list</t>
        </is>
      </c>
      <c r="F5" s="4" t="inlineStr">
        <is>
          <t>Download the final list as CSV and Excel.</t>
        </is>
      </c>
      <c r="G5" s="4" t="inlineStr">
        <is>
          <t>Both files open, with the 48 contacts and the same columns as on screen.</t>
        </is>
      </c>
      <c r="H5" s="4" t="inlineStr">
        <is>
          <t>Medium</t>
        </is>
      </c>
      <c r="I5" s="4" t="inlineStr">
        <is>
          <t>Not run</t>
        </is>
      </c>
      <c r="J5" s="5" t="inlineStr"/>
      <c r="K5" s="5" t="inlineStr"/>
      <c r="L5" s="6" t="inlineStr"/>
      <c r="M5" s="5" t="inlineStr"/>
    </row>
    <row r="6">
      <c r="A6" s="4" t="inlineStr">
        <is>
          <t>PR-005</t>
        </is>
      </c>
      <c r="B6" s="4" t="inlineStr">
        <is>
          <t>Prospecting</t>
        </is>
      </c>
      <c r="C6" s="4" t="inlineStr">
        <is>
          <t>Reload</t>
        </is>
      </c>
      <c r="D6" s="4" t="inlineStr">
        <is>
          <t>TS1</t>
        </is>
      </c>
      <c r="E6" s="4" t="inlineStr">
        <is>
          <t>Saved list survives a reload</t>
        </is>
      </c>
      <c r="F6" s="4" t="inlineStr">
        <is>
          <t>Reload the browser, then open Account Scoring.</t>
        </is>
      </c>
      <c r="G6" s="4" t="inlineStr">
        <is>
          <t>The list "TS1" is still there (it is kept in the browser).</t>
        </is>
      </c>
      <c r="H6" s="4" t="inlineStr">
        <is>
          <t>Medium</t>
        </is>
      </c>
      <c r="I6" s="4" t="inlineStr">
        <is>
          <t>Not run</t>
        </is>
      </c>
      <c r="J6" s="5" t="inlineStr"/>
      <c r="K6" s="5" t="inlineStr"/>
      <c r="L6" s="6" t="inlineStr"/>
      <c r="M6" s="5" t="inlineStr"/>
    </row>
    <row r="7">
      <c r="A7" s="4" t="inlineStr">
        <is>
          <t>PR-006</t>
        </is>
      </c>
      <c r="B7" s="4" t="inlineStr">
        <is>
          <t>Prospecting</t>
        </is>
      </c>
      <c r="C7" s="4" t="inlineStr">
        <is>
          <t>Data quality</t>
        </is>
      </c>
      <c r="D7" s="4" t="inlineStr">
        <is>
          <t>TS2</t>
        </is>
      </c>
      <c r="E7" s="4" t="inlineStr">
        <is>
          <t>Edge-case file totals</t>
        </is>
      </c>
      <c r="F7" s="4" t="inlineStr">
        <is>
          <t>Upload TS2_Prospecting_edge_cases.xlsx.</t>
        </is>
      </c>
      <c r="G7" s="4" t="inlineStr">
        <is>
          <t>32 rows read, 1 not loaded, 2 merged, 29 contacts, 10 accounts (6 pass), 19 in the final list.</t>
        </is>
      </c>
      <c r="H7" s="4" t="inlineStr">
        <is>
          <t>High</t>
        </is>
      </c>
      <c r="I7" s="4" t="inlineStr">
        <is>
          <t>Not run</t>
        </is>
      </c>
      <c r="J7" s="5" t="inlineStr"/>
      <c r="K7" s="5" t="inlineStr"/>
      <c r="L7" s="6" t="inlineStr"/>
      <c r="M7" s="5" t="inlineStr"/>
    </row>
    <row r="8">
      <c r="A8" s="4" t="inlineStr">
        <is>
          <t>PR-007</t>
        </is>
      </c>
      <c r="B8" s="4" t="inlineStr">
        <is>
          <t>Prospecting</t>
        </is>
      </c>
      <c r="C8" s="4" t="inlineStr">
        <is>
          <t>Data quality</t>
        </is>
      </c>
      <c r="D8" s="4" t="inlineStr">
        <is>
          <t>TS2</t>
        </is>
      </c>
      <c r="E8" s="4" t="inlineStr">
        <is>
          <t>Row 2: Control row: clean, in the final list</t>
        </is>
      </c>
      <c r="F8" s="4" t="inlineStr">
        <is>
          <t>In the TS2 upload, find spreadsheet row 2 in the check pane and the final list.</t>
        </is>
      </c>
      <c r="G8" s="4" t="inlineStr">
        <is>
          <t>No issue. Contact: In the final list.</t>
        </is>
      </c>
      <c r="H8" s="4" t="inlineStr">
        <is>
          <t>Medium</t>
        </is>
      </c>
      <c r="I8" s="4" t="inlineStr">
        <is>
          <t>Not run</t>
        </is>
      </c>
      <c r="J8" s="5" t="inlineStr"/>
      <c r="K8" s="5" t="inlineStr"/>
      <c r="L8" s="6" t="inlineStr"/>
      <c r="M8" s="5" t="inlineStr"/>
    </row>
    <row r="9">
      <c r="A9" s="4" t="inlineStr">
        <is>
          <t>PR-008</t>
        </is>
      </c>
      <c r="B9" s="4" t="inlineStr">
        <is>
          <t>Prospecting</t>
        </is>
      </c>
      <c r="C9" s="4" t="inlineStr">
        <is>
          <t>Data quality</t>
        </is>
      </c>
      <c r="D9" s="4" t="inlineStr">
        <is>
          <t>TS2</t>
        </is>
      </c>
      <c r="E9" s="4" t="inlineStr">
        <is>
          <t>Row 3: Email with no domain ending</t>
        </is>
      </c>
      <c r="F9" s="4" t="inlineStr">
        <is>
          <t>In the TS2 upload, find spreadsheet row 3 in the check pane and the final list.</t>
        </is>
      </c>
      <c r="G9" s="4" t="inlineStr">
        <is>
          <t>Issues: email D3. Contact: In the final list.</t>
        </is>
      </c>
      <c r="H9" s="4" t="inlineStr">
        <is>
          <t>Medium</t>
        </is>
      </c>
      <c r="I9" s="4" t="inlineStr">
        <is>
          <t>Not run</t>
        </is>
      </c>
      <c r="J9" s="5" t="inlineStr"/>
      <c r="K9" s="5" t="inlineStr"/>
      <c r="L9" s="6" t="inlineStr"/>
      <c r="M9" s="5" t="inlineStr"/>
    </row>
    <row r="10">
      <c r="A10" s="4" t="inlineStr">
        <is>
          <t>PR-009</t>
        </is>
      </c>
      <c r="B10" s="4" t="inlineStr">
        <is>
          <t>Prospecting</t>
        </is>
      </c>
      <c r="C10" s="4" t="inlineStr">
        <is>
          <t>Data quality</t>
        </is>
      </c>
      <c r="D10" s="4" t="inlineStr">
        <is>
          <t>TS2</t>
        </is>
      </c>
      <c r="E10" s="4" t="inlineStr">
        <is>
          <t>Row 4: Email with a space</t>
        </is>
      </c>
      <c r="F10" s="4" t="inlineStr">
        <is>
          <t>In the TS2 upload, find spreadsheet row 4 in the check pane and the final list.</t>
        </is>
      </c>
      <c r="G10" s="4" t="inlineStr">
        <is>
          <t>Issues: email D3. Contact: In the final list.</t>
        </is>
      </c>
      <c r="H10" s="4" t="inlineStr">
        <is>
          <t>Medium</t>
        </is>
      </c>
      <c r="I10" s="4" t="inlineStr">
        <is>
          <t>Not run</t>
        </is>
      </c>
      <c r="J10" s="5" t="inlineStr"/>
      <c r="K10" s="5" t="inlineStr"/>
      <c r="L10" s="6" t="inlineStr"/>
      <c r="M10" s="5" t="inlineStr"/>
    </row>
    <row r="11">
      <c r="A11" s="4" t="inlineStr">
        <is>
          <t>PR-010</t>
        </is>
      </c>
      <c r="B11" s="4" t="inlineStr">
        <is>
          <t>Prospecting</t>
        </is>
      </c>
      <c r="C11" s="4" t="inlineStr">
        <is>
          <t>Data quality</t>
        </is>
      </c>
      <c r="D11" s="4" t="inlineStr">
        <is>
          <t>TS2</t>
        </is>
      </c>
      <c r="E11" s="4" t="inlineStr">
        <is>
          <t>Row 5: TRUE instead of Y</t>
        </is>
      </c>
      <c r="F11" s="4" t="inlineStr">
        <is>
          <t>In the TS2 upload, find spreadsheet row 5 in the check pane and the final list.</t>
        </is>
      </c>
      <c r="G11" s="4" t="inlineStr">
        <is>
          <t>Issues: email_verified D3. Contact: In the final list.</t>
        </is>
      </c>
      <c r="H11" s="4" t="inlineStr">
        <is>
          <t>Medium</t>
        </is>
      </c>
      <c r="I11" s="4" t="inlineStr">
        <is>
          <t>Not run</t>
        </is>
      </c>
      <c r="J11" s="5" t="inlineStr"/>
      <c r="K11" s="5" t="inlineStr"/>
      <c r="L11" s="6" t="inlineStr"/>
      <c r="M11" s="5" t="inlineStr"/>
    </row>
    <row r="12">
      <c r="A12" s="4" t="inlineStr">
        <is>
          <t>PR-011</t>
        </is>
      </c>
      <c r="B12" s="4" t="inlineStr">
        <is>
          <t>Prospecting</t>
        </is>
      </c>
      <c r="C12" s="4" t="inlineStr">
        <is>
          <t>Data quality</t>
        </is>
      </c>
      <c r="D12" s="4" t="inlineStr">
        <is>
          <t>TS2</t>
        </is>
      </c>
      <c r="E12" s="4" t="inlineStr">
        <is>
          <t>Row 6: Email not verified: loaded, email not used as a channel</t>
        </is>
      </c>
      <c r="F12" s="4" t="inlineStr">
        <is>
          <t>In the TS2 upload, find spreadsheet row 6 in the check pane and the final list.</t>
        </is>
      </c>
      <c r="G12" s="4" t="inlineStr">
        <is>
          <t>No issue. Contact: In the final list.</t>
        </is>
      </c>
      <c r="H12" s="4" t="inlineStr">
        <is>
          <t>Medium</t>
        </is>
      </c>
      <c r="I12" s="4" t="inlineStr">
        <is>
          <t>Not run</t>
        </is>
      </c>
      <c r="J12" s="5" t="inlineStr"/>
      <c r="K12" s="5" t="inlineStr"/>
      <c r="L12" s="6" t="inlineStr"/>
      <c r="M12" s="5" t="inlineStr"/>
    </row>
    <row r="13">
      <c r="A13" s="4" t="inlineStr">
        <is>
          <t>PR-012</t>
        </is>
      </c>
      <c r="B13" s="4" t="inlineStr">
        <is>
          <t>Prospecting</t>
        </is>
      </c>
      <c r="C13" s="4" t="inlineStr">
        <is>
          <t>Data quality</t>
        </is>
      </c>
      <c r="D13" s="4" t="inlineStr">
        <is>
          <t>TS2</t>
        </is>
      </c>
      <c r="E13" s="4" t="inlineStr">
        <is>
          <t>Row 7: LinkedIn company page, not a profile</t>
        </is>
      </c>
      <c r="F13" s="4" t="inlineStr">
        <is>
          <t>In the TS2 upload, find spreadsheet row 7 in the check pane and the final list.</t>
        </is>
      </c>
      <c r="G13" s="4" t="inlineStr">
        <is>
          <t>Issues: linkedin_url D3. Contact: In the final list.</t>
        </is>
      </c>
      <c r="H13" s="4" t="inlineStr">
        <is>
          <t>Medium</t>
        </is>
      </c>
      <c r="I13" s="4" t="inlineStr">
        <is>
          <t>Not run</t>
        </is>
      </c>
      <c r="J13" s="5" t="inlineStr"/>
      <c r="K13" s="5" t="inlineStr"/>
      <c r="L13" s="6" t="inlineStr"/>
      <c r="M13" s="5" t="inlineStr"/>
    </row>
    <row r="14">
      <c r="A14" s="4" t="inlineStr">
        <is>
          <t>PR-013</t>
        </is>
      </c>
      <c r="B14" s="4" t="inlineStr">
        <is>
          <t>Prospecting</t>
        </is>
      </c>
      <c r="C14" s="4" t="inlineStr">
        <is>
          <t>Data quality</t>
        </is>
      </c>
      <c r="D14" s="4" t="inlineStr">
        <is>
          <t>TS2</t>
        </is>
      </c>
      <c r="E14" s="4" t="inlineStr">
        <is>
          <t>Row 8: No email and no LinkedIn</t>
        </is>
      </c>
      <c r="F14" s="4" t="inlineStr">
        <is>
          <t>In the TS2 upload, find spreadsheet row 8 in the check pane and the final list.</t>
        </is>
      </c>
      <c r="G14" s="4" t="inlineStr">
        <is>
          <t>Issues: email / linkedin_url D3. Contact: In the list, not contactable (no usable email or LinkedIn).</t>
        </is>
      </c>
      <c r="H14" s="4" t="inlineStr">
        <is>
          <t>Medium</t>
        </is>
      </c>
      <c r="I14" s="4" t="inlineStr">
        <is>
          <t>Not run</t>
        </is>
      </c>
      <c r="J14" s="5" t="inlineStr"/>
      <c r="K14" s="5" t="inlineStr"/>
      <c r="L14" s="6" t="inlineStr"/>
      <c r="M14" s="5" t="inlineStr"/>
    </row>
    <row r="15">
      <c r="A15" s="4" t="inlineStr">
        <is>
          <t>PR-014</t>
        </is>
      </c>
      <c r="B15" s="4" t="inlineStr">
        <is>
          <t>Prospecting</t>
        </is>
      </c>
      <c r="C15" s="4" t="inlineStr">
        <is>
          <t>Data quality</t>
        </is>
      </c>
      <c r="D15" s="4" t="inlineStr">
        <is>
          <t>TS2</t>
        </is>
      </c>
      <c r="E15" s="4" t="inlineStr">
        <is>
          <t>Row 9: Same email as row 1 in capitals: merged</t>
        </is>
      </c>
      <c r="F15" s="4" t="inlineStr">
        <is>
          <t>In the TS2 upload, find spreadsheet row 9 in the check pane and the final list.</t>
        </is>
      </c>
      <c r="G15" s="4" t="inlineStr">
        <is>
          <t>Issues: email D5. Contact: Merged into the earlier row.</t>
        </is>
      </c>
      <c r="H15" s="4" t="inlineStr">
        <is>
          <t>Medium</t>
        </is>
      </c>
      <c r="I15" s="4" t="inlineStr">
        <is>
          <t>Not run</t>
        </is>
      </c>
      <c r="J15" s="5" t="inlineStr"/>
      <c r="K15" s="5" t="inlineStr"/>
      <c r="L15" s="6" t="inlineStr"/>
      <c r="M15" s="5" t="inlineStr"/>
    </row>
    <row r="16">
      <c r="A16" s="4" t="inlineStr">
        <is>
          <t>PR-015</t>
        </is>
      </c>
      <c r="B16" s="4" t="inlineStr">
        <is>
          <t>Prospecting</t>
        </is>
      </c>
      <c r="C16" s="4" t="inlineStr">
        <is>
          <t>Data quality</t>
        </is>
      </c>
      <c r="D16" s="4" t="inlineStr">
        <is>
          <t>TS2</t>
        </is>
      </c>
      <c r="E16" s="4" t="inlineStr">
        <is>
          <t>Row 10: Control row for the LinkedIn duplicate below</t>
        </is>
      </c>
      <c r="F16" s="4" t="inlineStr">
        <is>
          <t>In the TS2 upload, find spreadsheet row 10 in the check pane and the final list.</t>
        </is>
      </c>
      <c r="G16" s="4" t="inlineStr">
        <is>
          <t>No issue. Contact: In the final list.</t>
        </is>
      </c>
      <c r="H16" s="4" t="inlineStr">
        <is>
          <t>Medium</t>
        </is>
      </c>
      <c r="I16" s="4" t="inlineStr">
        <is>
          <t>Not run</t>
        </is>
      </c>
      <c r="J16" s="5" t="inlineStr"/>
      <c r="K16" s="5" t="inlineStr"/>
      <c r="L16" s="6" t="inlineStr"/>
      <c r="M16" s="5" t="inlineStr"/>
    </row>
    <row r="17">
      <c r="A17" s="4" t="inlineStr">
        <is>
          <t>PR-016</t>
        </is>
      </c>
      <c r="B17" s="4" t="inlineStr">
        <is>
          <t>Prospecting</t>
        </is>
      </c>
      <c r="C17" s="4" t="inlineStr">
        <is>
          <t>Data quality</t>
        </is>
      </c>
      <c r="D17" s="4" t="inlineStr">
        <is>
          <t>TS2</t>
        </is>
      </c>
      <c r="E17" s="4" t="inlineStr">
        <is>
          <t>Row 11: Same LinkedIn profile, different URL form: merged</t>
        </is>
      </c>
      <c r="F17" s="4" t="inlineStr">
        <is>
          <t>In the TS2 upload, find spreadsheet row 11 in the check pane and the final list.</t>
        </is>
      </c>
      <c r="G17" s="4" t="inlineStr">
        <is>
          <t>Issues: linkedin_url D5. Contact: Merged into the earlier row.</t>
        </is>
      </c>
      <c r="H17" s="4" t="inlineStr">
        <is>
          <t>Medium</t>
        </is>
      </c>
      <c r="I17" s="4" t="inlineStr">
        <is>
          <t>Not run</t>
        </is>
      </c>
      <c r="J17" s="5" t="inlineStr"/>
      <c r="K17" s="5" t="inlineStr"/>
      <c r="L17" s="6" t="inlineStr"/>
      <c r="M17" s="5" t="inlineStr"/>
    </row>
    <row r="18">
      <c r="A18" s="4" t="inlineStr">
        <is>
          <t>PR-017</t>
        </is>
      </c>
      <c r="B18" s="4" t="inlineStr">
        <is>
          <t>Prospecting</t>
        </is>
      </c>
      <c r="C18" s="4" t="inlineStr">
        <is>
          <t>Data quality</t>
        </is>
      </c>
      <c r="D18" s="4" t="inlineStr">
        <is>
          <t>TS2</t>
        </is>
      </c>
      <c r="E18" s="4" t="inlineStr">
        <is>
          <t>Row 12: Opted out: suppressed, never contacted</t>
        </is>
      </c>
      <c r="F18" s="4" t="inlineStr">
        <is>
          <t>In the TS2 upload, find spreadsheet row 12 in the check pane and the final list.</t>
        </is>
      </c>
      <c r="G18" s="4" t="inlineStr">
        <is>
          <t>No issue. Contact: Not in the list: opted out.</t>
        </is>
      </c>
      <c r="H18" s="4" t="inlineStr">
        <is>
          <t>Medium</t>
        </is>
      </c>
      <c r="I18" s="4" t="inlineStr">
        <is>
          <t>Not run</t>
        </is>
      </c>
      <c r="J18" s="5" t="inlineStr"/>
      <c r="K18" s="5" t="inlineStr"/>
      <c r="L18" s="6" t="inlineStr"/>
      <c r="M18" s="5" t="inlineStr"/>
    </row>
    <row r="19">
      <c r="A19" s="4" t="inlineStr">
        <is>
          <t>PR-018</t>
        </is>
      </c>
      <c r="B19" s="4" t="inlineStr">
        <is>
          <t>Prospecting</t>
        </is>
      </c>
      <c r="C19" s="4" t="inlineStr">
        <is>
          <t>Data quality</t>
        </is>
      </c>
      <c r="D19" s="4" t="inlineStr">
        <is>
          <t>TS2</t>
        </is>
      </c>
      <c r="E19" s="4" t="inlineStr">
        <is>
          <t>Row 13: Opt-out blank: not contactable</t>
        </is>
      </c>
      <c r="F19" s="4" t="inlineStr">
        <is>
          <t>In the TS2 upload, find spreadsheet row 13 in the check pane and the final list.</t>
        </is>
      </c>
      <c r="G19" s="4" t="inlineStr">
        <is>
          <t>Issues: opt_out D3. Contact: In the list, not contactable (opt-out not confirmed).</t>
        </is>
      </c>
      <c r="H19" s="4" t="inlineStr">
        <is>
          <t>Medium</t>
        </is>
      </c>
      <c r="I19" s="4" t="inlineStr">
        <is>
          <t>Not run</t>
        </is>
      </c>
      <c r="J19" s="5" t="inlineStr"/>
      <c r="K19" s="5" t="inlineStr"/>
      <c r="L19" s="6" t="inlineStr"/>
      <c r="M19" s="5" t="inlineStr"/>
    </row>
    <row r="20">
      <c r="A20" s="4" t="inlineStr">
        <is>
          <t>PR-019</t>
        </is>
      </c>
      <c r="B20" s="4" t="inlineStr">
        <is>
          <t>Prospecting</t>
        </is>
      </c>
      <c r="C20" s="4" t="inlineStr">
        <is>
          <t>Data quality</t>
        </is>
      </c>
      <c r="D20" s="4" t="inlineStr">
        <is>
          <t>TS2</t>
        </is>
      </c>
      <c r="E20" s="4" t="inlineStr">
        <is>
          <t>Row 14: Consent basis not recognised</t>
        </is>
      </c>
      <c r="F20" s="4" t="inlineStr">
        <is>
          <t>In the TS2 upload, find spreadsheet row 14 in the check pane and the final list.</t>
        </is>
      </c>
      <c r="G20" s="4" t="inlineStr">
        <is>
          <t>Issues: consent_basis D3. Contact: In the list, not contactable (no consent basis).</t>
        </is>
      </c>
      <c r="H20" s="4" t="inlineStr">
        <is>
          <t>Medium</t>
        </is>
      </c>
      <c r="I20" s="4" t="inlineStr">
        <is>
          <t>Not run</t>
        </is>
      </c>
      <c r="J20" s="5" t="inlineStr"/>
      <c r="K20" s="5" t="inlineStr"/>
      <c r="L20" s="6" t="inlineStr"/>
      <c r="M20" s="5" t="inlineStr"/>
    </row>
    <row r="21">
      <c r="A21" s="4" t="inlineStr">
        <is>
          <t>PR-020</t>
        </is>
      </c>
      <c r="B21" s="4" t="inlineStr">
        <is>
          <t>Prospecting</t>
        </is>
      </c>
      <c r="C21" s="4" t="inlineStr">
        <is>
          <t>Data quality</t>
        </is>
      </c>
      <c r="D21" s="4" t="inlineStr">
        <is>
          <t>TS2</t>
        </is>
      </c>
      <c r="E21" s="4" t="inlineStr">
        <is>
          <t>Row 15: No consent basis</t>
        </is>
      </c>
      <c r="F21" s="4" t="inlineStr">
        <is>
          <t>In the TS2 upload, find spreadsheet row 15 in the check pane and the final list.</t>
        </is>
      </c>
      <c r="G21" s="4" t="inlineStr">
        <is>
          <t>Issues: consent_basis D3. Contact: In the list, not contactable (no consent basis).</t>
        </is>
      </c>
      <c r="H21" s="4" t="inlineStr">
        <is>
          <t>Medium</t>
        </is>
      </c>
      <c r="I21" s="4" t="inlineStr">
        <is>
          <t>Not run</t>
        </is>
      </c>
      <c r="J21" s="5" t="inlineStr"/>
      <c r="K21" s="5" t="inlineStr"/>
      <c r="L21" s="6" t="inlineStr"/>
      <c r="M21" s="5" t="inlineStr"/>
    </row>
    <row r="22">
      <c r="A22" s="4" t="inlineStr">
        <is>
          <t>PR-021</t>
        </is>
      </c>
      <c r="B22" s="4" t="inlineStr">
        <is>
          <t>Prospecting</t>
        </is>
      </c>
      <c r="C22" s="4" t="inlineStr">
        <is>
          <t>Data quality</t>
        </is>
      </c>
      <c r="D22" s="4" t="inlineStr">
        <is>
          <t>TS2</t>
        </is>
      </c>
      <c r="E22" s="4" t="inlineStr">
        <is>
          <t>Row 16: Owner is a name, not an email</t>
        </is>
      </c>
      <c r="F22" s="4" t="inlineStr">
        <is>
          <t>In the TS2 upload, find spreadsheet row 16 in the check pane and the final list.</t>
        </is>
      </c>
      <c r="G22" s="4" t="inlineStr">
        <is>
          <t>Issues: owner_email D3. Contact: In the final list.</t>
        </is>
      </c>
      <c r="H22" s="4" t="inlineStr">
        <is>
          <t>Medium</t>
        </is>
      </c>
      <c r="I22" s="4" t="inlineStr">
        <is>
          <t>Not run</t>
        </is>
      </c>
      <c r="J22" s="5" t="inlineStr"/>
      <c r="K22" s="5" t="inlineStr"/>
      <c r="L22" s="6" t="inlineStr"/>
      <c r="M22" s="5" t="inlineStr"/>
    </row>
    <row r="23">
      <c r="A23" s="4" t="inlineStr">
        <is>
          <t>PR-022</t>
        </is>
      </c>
      <c r="B23" s="4" t="inlineStr">
        <is>
          <t>Prospecting</t>
        </is>
      </c>
      <c r="C23" s="4" t="inlineStr">
        <is>
          <t>Data quality</t>
        </is>
      </c>
      <c r="D23" s="4" t="inlineStr">
        <is>
          <t>TS2</t>
        </is>
      </c>
      <c r="E23" s="4" t="inlineStr">
        <is>
          <t>Row 17: Job title missing</t>
        </is>
      </c>
      <c r="F23" s="4" t="inlineStr">
        <is>
          <t>In the TS2 upload, find spreadsheet row 17 in the check pane and the final list.</t>
        </is>
      </c>
      <c r="G23" s="4" t="inlineStr">
        <is>
          <t>Issues: job_title D3. Contact: In the final list.</t>
        </is>
      </c>
      <c r="H23" s="4" t="inlineStr">
        <is>
          <t>Medium</t>
        </is>
      </c>
      <c r="I23" s="4" t="inlineStr">
        <is>
          <t>Not run</t>
        </is>
      </c>
      <c r="J23" s="5" t="inlineStr"/>
      <c r="K23" s="5" t="inlineStr"/>
      <c r="L23" s="6" t="inlineStr"/>
      <c r="M23" s="5" t="inlineStr"/>
    </row>
    <row r="24">
      <c r="A24" s="4" t="inlineStr">
        <is>
          <t>PR-023</t>
        </is>
      </c>
      <c r="B24" s="4" t="inlineStr">
        <is>
          <t>Prospecting</t>
        </is>
      </c>
      <c r="C24" s="4" t="inlineStr">
        <is>
          <t>Data quality</t>
        </is>
      </c>
      <c r="D24" s="4" t="inlineStr">
        <is>
          <t>TS2</t>
        </is>
      </c>
      <c r="E24" s="4" t="inlineStr">
        <is>
          <t>Row 18: First name missing</t>
        </is>
      </c>
      <c r="F24" s="4" t="inlineStr">
        <is>
          <t>In the TS2 upload, find spreadsheet row 18 in the check pane and the final list.</t>
        </is>
      </c>
      <c r="G24" s="4" t="inlineStr">
        <is>
          <t>Issues: first_name D3. Contact: In the final list.</t>
        </is>
      </c>
      <c r="H24" s="4" t="inlineStr">
        <is>
          <t>Medium</t>
        </is>
      </c>
      <c r="I24" s="4" t="inlineStr">
        <is>
          <t>Not run</t>
        </is>
      </c>
      <c r="J24" s="5" t="inlineStr"/>
      <c r="K24" s="5" t="inlineStr"/>
      <c r="L24" s="6" t="inlineStr"/>
      <c r="M24" s="5" t="inlineStr"/>
    </row>
    <row r="25">
      <c r="A25" s="4" t="inlineStr">
        <is>
          <t>PR-024</t>
        </is>
      </c>
      <c r="B25" s="4" t="inlineStr">
        <is>
          <t>Prospecting</t>
        </is>
      </c>
      <c r="C25" s="4" t="inlineStr">
        <is>
          <t>Data quality</t>
        </is>
      </c>
      <c r="D25" s="4" t="inlineStr">
        <is>
          <t>TS2</t>
        </is>
      </c>
      <c r="E25" s="4" t="inlineStr">
        <is>
          <t>Row 19: Company name missing: row not loaded</t>
        </is>
      </c>
      <c r="F25" s="4" t="inlineStr">
        <is>
          <t>In the TS2 upload, find spreadsheet row 19 in the check pane and the final list.</t>
        </is>
      </c>
      <c r="G25" s="4" t="inlineStr">
        <is>
          <t>Issues: company_name D3. Contact: Not loaded.</t>
        </is>
      </c>
      <c r="H25" s="4" t="inlineStr">
        <is>
          <t>Medium</t>
        </is>
      </c>
      <c r="I25" s="4" t="inlineStr">
        <is>
          <t>Not run</t>
        </is>
      </c>
      <c r="J25" s="5" t="inlineStr"/>
      <c r="K25" s="5" t="inlineStr"/>
      <c r="L25" s="6" t="inlineStr"/>
      <c r="M25" s="5" t="inlineStr"/>
    </row>
    <row r="26">
      <c r="A26" s="4" t="inlineStr">
        <is>
          <t>PR-025</t>
        </is>
      </c>
      <c r="B26" s="4" t="inlineStr">
        <is>
          <t>Prospecting</t>
        </is>
      </c>
      <c r="C26" s="4" t="inlineStr">
        <is>
          <t>Data quality</t>
        </is>
      </c>
      <c r="D26" s="4" t="inlineStr">
        <is>
          <t>TS2</t>
        </is>
      </c>
      <c r="E26" s="4" t="inlineStr">
        <is>
          <t>Row 20: Revenue with $ and commas: read as a number</t>
        </is>
      </c>
      <c r="F26" s="4" t="inlineStr">
        <is>
          <t>In the TS2 upload, find spreadsheet row 20 in the check pane and the final list.</t>
        </is>
      </c>
      <c r="G26" s="4" t="inlineStr">
        <is>
          <t>Issues: annual_revenue_usd D3. Contact: In the final list.</t>
        </is>
      </c>
      <c r="H26" s="4" t="inlineStr">
        <is>
          <t>Medium</t>
        </is>
      </c>
      <c r="I26" s="4" t="inlineStr">
        <is>
          <t>Not run</t>
        </is>
      </c>
      <c r="J26" s="5" t="inlineStr"/>
      <c r="K26" s="5" t="inlineStr"/>
      <c r="L26" s="6" t="inlineStr"/>
      <c r="M26" s="5" t="inlineStr"/>
    </row>
    <row r="27">
      <c r="A27" s="4" t="inlineStr">
        <is>
          <t>PR-026</t>
        </is>
      </c>
      <c r="B27" s="4" t="inlineStr">
        <is>
          <t>Prospecting</t>
        </is>
      </c>
      <c r="C27" s="4" t="inlineStr">
        <is>
          <t>Data quality</t>
        </is>
      </c>
      <c r="D27" s="4" t="inlineStr">
        <is>
          <t>TS2</t>
        </is>
      </c>
      <c r="E27" s="4" t="inlineStr">
        <is>
          <t>Row 21: Employees not a number</t>
        </is>
      </c>
      <c r="F27" s="4" t="inlineStr">
        <is>
          <t>In the TS2 upload, find spreadsheet row 21 in the check pane and the final list.</t>
        </is>
      </c>
      <c r="G27" s="4" t="inlineStr">
        <is>
          <t>Issues: annual_revenue_usd D3; employee_count D3; employee_count D3. Contact: In the final list.</t>
        </is>
      </c>
      <c r="H27" s="4" t="inlineStr">
        <is>
          <t>Medium</t>
        </is>
      </c>
      <c r="I27" s="4" t="inlineStr">
        <is>
          <t>Not run</t>
        </is>
      </c>
      <c r="J27" s="5" t="inlineStr"/>
      <c r="K27" s="5" t="inlineStr"/>
      <c r="L27" s="6" t="inlineStr"/>
      <c r="M27" s="5" t="inlineStr"/>
    </row>
    <row r="28">
      <c r="A28" s="4" t="inlineStr">
        <is>
          <t>PR-027</t>
        </is>
      </c>
      <c r="B28" s="4" t="inlineStr">
        <is>
          <t>Prospecting</t>
        </is>
      </c>
      <c r="C28" s="4" t="inlineStr">
        <is>
          <t>Data quality</t>
        </is>
      </c>
      <c r="D28" s="4" t="inlineStr">
        <is>
          <t>TS2</t>
        </is>
      </c>
      <c r="E28" s="4" t="inlineStr">
        <is>
          <t>Row 22: Domain given as a full URL</t>
        </is>
      </c>
      <c r="F28" s="4" t="inlineStr">
        <is>
          <t>In the TS2 upload, find spreadsheet row 22 in the check pane and the final list.</t>
        </is>
      </c>
      <c r="G28" s="4" t="inlineStr">
        <is>
          <t>Issues: company_domain D3; annual_revenue_usd D3. Contact: In the final list.</t>
        </is>
      </c>
      <c r="H28" s="4" t="inlineStr">
        <is>
          <t>Medium</t>
        </is>
      </c>
      <c r="I28" s="4" t="inlineStr">
        <is>
          <t>Not run</t>
        </is>
      </c>
      <c r="J28" s="5" t="inlineStr"/>
      <c r="K28" s="5" t="inlineStr"/>
      <c r="L28" s="6" t="inlineStr"/>
      <c r="M28" s="5" t="inlineStr"/>
    </row>
    <row r="29">
      <c r="A29" s="4" t="inlineStr">
        <is>
          <t>PR-028</t>
        </is>
      </c>
      <c r="B29" s="4" t="inlineStr">
        <is>
          <t>Prospecting</t>
        </is>
      </c>
      <c r="C29" s="4" t="inlineStr">
        <is>
          <t>Data quality</t>
        </is>
      </c>
      <c r="D29" s="4" t="inlineStr">
        <is>
          <t>TS2</t>
        </is>
      </c>
      <c r="E29" s="4" t="inlineStr">
        <is>
          <t>Row 23: Account type not on the list</t>
        </is>
      </c>
      <c r="F29" s="4" t="inlineStr">
        <is>
          <t>In the TS2 upload, find spreadsheet row 23 in the check pane and the final list.</t>
        </is>
      </c>
      <c r="G29" s="4" t="inlineStr">
        <is>
          <t>Issues: annual_revenue_usd D3; account_type D3; account_type D3. Contact: In the final list.</t>
        </is>
      </c>
      <c r="H29" s="4" t="inlineStr">
        <is>
          <t>Medium</t>
        </is>
      </c>
      <c r="I29" s="4" t="inlineStr">
        <is>
          <t>Not run</t>
        </is>
      </c>
      <c r="J29" s="5" t="inlineStr"/>
      <c r="K29" s="5" t="inlineStr"/>
      <c r="L29" s="6" t="inlineStr"/>
      <c r="M29" s="5" t="inlineStr"/>
    </row>
    <row r="30">
      <c r="A30" s="4" t="inlineStr">
        <is>
          <t>PR-029</t>
        </is>
      </c>
      <c r="B30" s="4" t="inlineStr">
        <is>
          <t>Prospecting</t>
        </is>
      </c>
      <c r="C30" s="4" t="inlineStr">
        <is>
          <t>Data quality</t>
        </is>
      </c>
      <c r="D30" s="4" t="inlineStr">
        <is>
          <t>TS2</t>
        </is>
      </c>
      <c r="E30" s="4" t="inlineStr">
        <is>
          <t>Row 24: Outside the pilot region: account excluded</t>
        </is>
      </c>
      <c r="F30" s="4" t="inlineStr">
        <is>
          <t>In the TS2 upload, find spreadsheet row 24 in the check pane and the final list.</t>
        </is>
      </c>
      <c r="G30" s="4" t="inlineStr">
        <is>
          <t>No issue. Contact: Not in the list: account excluded (Outside the pilot region (Australia)).</t>
        </is>
      </c>
      <c r="H30" s="4" t="inlineStr">
        <is>
          <t>Medium</t>
        </is>
      </c>
      <c r="I30" s="4" t="inlineStr">
        <is>
          <t>Not run</t>
        </is>
      </c>
      <c r="J30" s="5" t="inlineStr"/>
      <c r="K30" s="5" t="inlineStr"/>
      <c r="L30" s="6" t="inlineStr"/>
      <c r="M30" s="5" t="inlineStr"/>
    </row>
    <row r="31">
      <c r="A31" s="4" t="inlineStr">
        <is>
          <t>PR-030</t>
        </is>
      </c>
      <c r="B31" s="4" t="inlineStr">
        <is>
          <t>Prospecting</t>
        </is>
      </c>
      <c r="C31" s="4" t="inlineStr">
        <is>
          <t>Data quality</t>
        </is>
      </c>
      <c r="D31" s="4" t="inlineStr">
        <is>
          <t>TS2</t>
        </is>
      </c>
      <c r="E31" s="4" t="inlineStr">
        <is>
          <t>Row 25: Managed separately: account excluded</t>
        </is>
      </c>
      <c r="F31" s="4" t="inlineStr">
        <is>
          <t>In the TS2 upload, find spreadsheet row 25 in the check pane and the final list.</t>
        </is>
      </c>
      <c r="G31" s="4" t="inlineStr">
        <is>
          <t>No issue. Contact: Not in the list: account excluded (Managed separately by Client).</t>
        </is>
      </c>
      <c r="H31" s="4" t="inlineStr">
        <is>
          <t>Medium</t>
        </is>
      </c>
      <c r="I31" s="4" t="inlineStr">
        <is>
          <t>Not run</t>
        </is>
      </c>
      <c r="J31" s="5" t="inlineStr"/>
      <c r="K31" s="5" t="inlineStr"/>
      <c r="L31" s="6" t="inlineStr"/>
      <c r="M31" s="5" t="inlineStr"/>
    </row>
    <row r="32">
      <c r="A32" s="4" t="inlineStr">
        <is>
          <t>PR-031</t>
        </is>
      </c>
      <c r="B32" s="4" t="inlineStr">
        <is>
          <t>Prospecting</t>
        </is>
      </c>
      <c r="C32" s="4" t="inlineStr">
        <is>
          <t>Data quality</t>
        </is>
      </c>
      <c r="D32" s="4" t="inlineStr">
        <is>
          <t>TS2</t>
        </is>
      </c>
      <c r="E32" s="4" t="inlineStr">
        <is>
          <t>Row 26: Every contact opted out: account excluded</t>
        </is>
      </c>
      <c r="F32" s="4" t="inlineStr">
        <is>
          <t>In the TS2 upload, find spreadsheet row 26 in the check pane and the final list.</t>
        </is>
      </c>
      <c r="G32" s="4" t="inlineStr">
        <is>
          <t>No issue. Contact: Not in the list: account excluded (No contactable contacts after suppression).</t>
        </is>
      </c>
      <c r="H32" s="4" t="inlineStr">
        <is>
          <t>Medium</t>
        </is>
      </c>
      <c r="I32" s="4" t="inlineStr">
        <is>
          <t>Not run</t>
        </is>
      </c>
      <c r="J32" s="5" t="inlineStr"/>
      <c r="K32" s="5" t="inlineStr"/>
      <c r="L32" s="6" t="inlineStr"/>
      <c r="M32" s="5" t="inlineStr"/>
    </row>
    <row r="33">
      <c r="A33" s="4" t="inlineStr">
        <is>
          <t>PR-032</t>
        </is>
      </c>
      <c r="B33" s="4" t="inlineStr">
        <is>
          <t>Prospecting</t>
        </is>
      </c>
      <c r="C33" s="4" t="inlineStr">
        <is>
          <t>Data quality</t>
        </is>
      </c>
      <c r="D33" s="4" t="inlineStr">
        <is>
          <t>TS2</t>
        </is>
      </c>
      <c r="E33" s="4" t="inlineStr">
        <is>
          <t>Row 27: Second opted-out contact at the same account</t>
        </is>
      </c>
      <c r="F33" s="4" t="inlineStr">
        <is>
          <t>In the TS2 upload, find spreadsheet row 27 in the check pane and the final list.</t>
        </is>
      </c>
      <c r="G33" s="4" t="inlineStr">
        <is>
          <t>No issue. Contact: Not in the list: account excluded (No contactable contacts after suppression).</t>
        </is>
      </c>
      <c r="H33" s="4" t="inlineStr">
        <is>
          <t>Medium</t>
        </is>
      </c>
      <c r="I33" s="4" t="inlineStr">
        <is>
          <t>Not run</t>
        </is>
      </c>
      <c r="J33" s="5" t="inlineStr"/>
      <c r="K33" s="5" t="inlineStr"/>
      <c r="L33" s="6" t="inlineStr"/>
      <c r="M33" s="5" t="inlineStr"/>
    </row>
    <row r="34">
      <c r="A34" s="4" t="inlineStr">
        <is>
          <t>PR-033</t>
        </is>
      </c>
      <c r="B34" s="4" t="inlineStr">
        <is>
          <t>Prospecting</t>
        </is>
      </c>
      <c r="C34" s="4" t="inlineStr">
        <is>
          <t>Data quality</t>
        </is>
      </c>
      <c r="D34" s="4" t="inlineStr">
        <is>
          <t>TS2</t>
        </is>
      </c>
      <c r="E34" s="4" t="inlineStr">
        <is>
          <t>Row 28: Industry not in the mapping: vertical Other, held for review</t>
        </is>
      </c>
      <c r="F34" s="4" t="inlineStr">
        <is>
          <t>In the TS2 upload, find spreadsheet row 28 in the check pane and the final list.</t>
        </is>
      </c>
      <c r="G34" s="4" t="inlineStr">
        <is>
          <t>No issue. Contact: In the final list.</t>
        </is>
      </c>
      <c r="H34" s="4" t="inlineStr">
        <is>
          <t>Medium</t>
        </is>
      </c>
      <c r="I34" s="4" t="inlineStr">
        <is>
          <t>Not run</t>
        </is>
      </c>
      <c r="J34" s="5" t="inlineStr"/>
      <c r="K34" s="5" t="inlineStr"/>
      <c r="L34" s="6" t="inlineStr"/>
      <c r="M34" s="5" t="inlineStr"/>
    </row>
    <row r="35">
      <c r="A35" s="4" t="inlineStr">
        <is>
          <t>PR-034</t>
        </is>
      </c>
      <c r="B35" s="4" t="inlineStr">
        <is>
          <t>Prospecting</t>
        </is>
      </c>
      <c r="C35" s="4" t="inlineStr">
        <is>
          <t>Data quality</t>
        </is>
      </c>
      <c r="D35" s="4" t="inlineStr">
        <is>
          <t>TS2</t>
        </is>
      </c>
      <c r="E35" s="4" t="inlineStr">
        <is>
          <t>Row 29: First row for an account whose details differ on the next row</t>
        </is>
      </c>
      <c r="F35" s="4" t="inlineStr">
        <is>
          <t>In the TS2 upload, find spreadsheet row 29 in the check pane and the final list.</t>
        </is>
      </c>
      <c r="G35" s="4" t="inlineStr">
        <is>
          <t>No issue. Contact: In the final list.</t>
        </is>
      </c>
      <c r="H35" s="4" t="inlineStr">
        <is>
          <t>Medium</t>
        </is>
      </c>
      <c r="I35" s="4" t="inlineStr">
        <is>
          <t>Not run</t>
        </is>
      </c>
      <c r="J35" s="5" t="inlineStr"/>
      <c r="K35" s="5" t="inlineStr"/>
      <c r="L35" s="6" t="inlineStr"/>
      <c r="M35" s="5" t="inlineStr"/>
    </row>
    <row r="36">
      <c r="A36" s="4" t="inlineStr">
        <is>
          <t>PR-035</t>
        </is>
      </c>
      <c r="B36" s="4" t="inlineStr">
        <is>
          <t>Prospecting</t>
        </is>
      </c>
      <c r="C36" s="4" t="inlineStr">
        <is>
          <t>Data quality</t>
        </is>
      </c>
      <c r="D36" s="4" t="inlineStr">
        <is>
          <t>TS2</t>
        </is>
      </c>
      <c r="E36" s="4" t="inlineStr">
        <is>
          <t>Row 30: Industry differs from the first row of the same company</t>
        </is>
      </c>
      <c r="F36" s="4" t="inlineStr">
        <is>
          <t>In the TS2 upload, find spreadsheet row 30 in the check pane and the final list.</t>
        </is>
      </c>
      <c r="G36" s="4" t="inlineStr">
        <is>
          <t>Issues: industry D3. Contact: In the final list.</t>
        </is>
      </c>
      <c r="H36" s="4" t="inlineStr">
        <is>
          <t>Medium</t>
        </is>
      </c>
      <c r="I36" s="4" t="inlineStr">
        <is>
          <t>Not run</t>
        </is>
      </c>
      <c r="J36" s="5" t="inlineStr"/>
      <c r="K36" s="5" t="inlineStr"/>
      <c r="L36" s="6" t="inlineStr"/>
      <c r="M36" s="5" t="inlineStr"/>
    </row>
    <row r="37">
      <c r="A37" s="4" t="inlineStr">
        <is>
          <t>PR-036</t>
        </is>
      </c>
      <c r="B37" s="4" t="inlineStr">
        <is>
          <t>Prospecting</t>
        </is>
      </c>
      <c r="C37" s="4" t="inlineStr">
        <is>
          <t>Data quality</t>
        </is>
      </c>
      <c r="D37" s="4" t="inlineStr">
        <is>
          <t>TS2</t>
        </is>
      </c>
      <c r="E37" s="4" t="inlineStr">
        <is>
          <t>Row 31: Y/N fields with a bad value and a blank</t>
        </is>
      </c>
      <c r="F37" s="4" t="inlineStr">
        <is>
          <t>In the TS2 upload, find spreadsheet row 31 in the check pane and the final list.</t>
        </is>
      </c>
      <c r="G37" s="4" t="inlineStr">
        <is>
          <t>Issues: existing_customer D3; managed_separately D3. Contact: In the final list.</t>
        </is>
      </c>
      <c r="H37" s="4" t="inlineStr">
        <is>
          <t>Medium</t>
        </is>
      </c>
      <c r="I37" s="4" t="inlineStr">
        <is>
          <t>Not run</t>
        </is>
      </c>
      <c r="J37" s="5" t="inlineStr"/>
      <c r="K37" s="5" t="inlineStr"/>
      <c r="L37" s="6" t="inlineStr"/>
      <c r="M37" s="5" t="inlineStr"/>
    </row>
    <row r="38">
      <c r="A38" s="4" t="inlineStr">
        <is>
          <t>PR-037</t>
        </is>
      </c>
      <c r="B38" s="4" t="inlineStr">
        <is>
          <t>Prospecting</t>
        </is>
      </c>
      <c r="C38" s="4" t="inlineStr">
        <is>
          <t>Data quality</t>
        </is>
      </c>
      <c r="D38" s="4" t="inlineStr">
        <is>
          <t>TS2</t>
        </is>
      </c>
      <c r="E38" s="4" t="inlineStr">
        <is>
          <t>Row 32: No company size at all</t>
        </is>
      </c>
      <c r="F38" s="4" t="inlineStr">
        <is>
          <t>In the TS2 upload, find spreadsheet row 32 in the check pane and the final list.</t>
        </is>
      </c>
      <c r="G38" s="4" t="inlineStr">
        <is>
          <t>Issues: annual_revenue_usd / employee_count D3. Contact: In the final list.</t>
        </is>
      </c>
      <c r="H38" s="4" t="inlineStr">
        <is>
          <t>Medium</t>
        </is>
      </c>
      <c r="I38" s="4" t="inlineStr">
        <is>
          <t>Not run</t>
        </is>
      </c>
      <c r="J38" s="5" t="inlineStr"/>
      <c r="K38" s="5" t="inlineStr"/>
      <c r="L38" s="6" t="inlineStr"/>
      <c r="M38" s="5" t="inlineStr"/>
    </row>
    <row r="39">
      <c r="A39" s="4" t="inlineStr">
        <is>
          <t>PR-038</t>
        </is>
      </c>
      <c r="B39" s="4" t="inlineStr">
        <is>
          <t>Prospecting</t>
        </is>
      </c>
      <c r="C39" s="4" t="inlineStr">
        <is>
          <t>Data quality</t>
        </is>
      </c>
      <c r="D39" s="4" t="inlineStr">
        <is>
          <t>TS2</t>
        </is>
      </c>
      <c r="E39" s="4" t="inlineStr">
        <is>
          <t>Row 33: Country as "SG": the region check fails (see note)</t>
        </is>
      </c>
      <c r="F39" s="4" t="inlineStr">
        <is>
          <t>In the TS2 upload, find spreadsheet row 33 in the check pane and the final list.</t>
        </is>
      </c>
      <c r="G39" s="4" t="inlineStr">
        <is>
          <t>No issue. Contact: Not in the list: account excluded (Outside the pilot region (SG)).</t>
        </is>
      </c>
      <c r="H39" s="4" t="inlineStr">
        <is>
          <t>Medium</t>
        </is>
      </c>
      <c r="I39" s="4" t="inlineStr">
        <is>
          <t>Not run</t>
        </is>
      </c>
      <c r="J39" s="5" t="inlineStr"/>
      <c r="K39" s="5" t="inlineStr"/>
      <c r="L39" s="6" t="inlineStr"/>
      <c r="M39" s="5" t="inlineStr"/>
    </row>
    <row r="40">
      <c r="A40" s="4" t="inlineStr">
        <is>
          <t>PR-039</t>
        </is>
      </c>
      <c r="B40" s="4" t="inlineStr">
        <is>
          <t>Prospecting</t>
        </is>
      </c>
      <c r="C40" s="4" t="inlineStr">
        <is>
          <t>Volume</t>
        </is>
      </c>
      <c r="D40" s="4" t="inlineStr">
        <is>
          <t>TS12</t>
        </is>
      </c>
      <c r="E40" s="4" t="inlineStr">
        <is>
          <t>Volume list loads</t>
        </is>
      </c>
      <c r="F40" s="4" t="inlineStr">
        <is>
          <t>Run TS12_Realistic_mixed_list.xlsx through Prospecting, Scoring (as of 2026-10-20) and Micro-segments.</t>
        </is>
      </c>
      <c r="G40" s="4" t="inlineStr">
        <is>
          <t>200 rows read, 60 accounts (57 pass), 200 contacts, 180 in the final list; the page stays responsive.</t>
        </is>
      </c>
      <c r="H40" s="4" t="inlineStr">
        <is>
          <t>Medium</t>
        </is>
      </c>
      <c r="I40" s="4" t="inlineStr">
        <is>
          <t>Not run</t>
        </is>
      </c>
      <c r="J40" s="5" t="inlineStr"/>
      <c r="K40" s="5" t="inlineStr"/>
      <c r="L40" s="6" t="inlineStr"/>
      <c r="M40" s="5" t="inlineStr"/>
    </row>
    <row r="41">
      <c r="A41" s="4" t="inlineStr">
        <is>
          <t>PR-040</t>
        </is>
      </c>
      <c r="B41" s="4" t="inlineStr">
        <is>
          <t>Prospecting</t>
        </is>
      </c>
      <c r="C41" s="4" t="inlineStr">
        <is>
          <t>Volume</t>
        </is>
      </c>
      <c r="D41" s="4" t="inlineStr">
        <is>
          <t>Lead_Research_Sample_Dataset.xlsx</t>
        </is>
      </c>
      <c r="E41" s="4" t="inlineStr">
        <is>
          <t>Large file (7,498 leads)</t>
        </is>
      </c>
      <c r="F41" s="4" t="inlineStr">
        <is>
          <t>Upload test-data/Lead_Research_Sample_Dataset.xlsx in Prospecting.</t>
        </is>
      </c>
      <c r="G41" s="4" t="inlineStr">
        <is>
          <t>It loads without the browser freezing; note the time taken.</t>
        </is>
      </c>
      <c r="H41" s="4" t="inlineStr">
        <is>
          <t>Low</t>
        </is>
      </c>
      <c r="I41" s="4" t="inlineStr">
        <is>
          <t>Not run</t>
        </is>
      </c>
      <c r="J41" s="5" t="inlineStr"/>
      <c r="K41" s="5" t="inlineStr"/>
      <c r="L41" s="6" t="inlineStr"/>
      <c r="M41" s="5" t="inlineStr"/>
    </row>
    <row r="42">
      <c r="A42" s="4" t="inlineStr">
        <is>
          <t>SC-001</t>
        </is>
      </c>
      <c r="B42" s="4" t="inlineStr">
        <is>
          <t>Account Scoring</t>
        </is>
      </c>
      <c r="C42" s="4" t="inlineStr">
        <is>
          <t>Scoring</t>
        </is>
      </c>
      <c r="D42" s="4" t="inlineStr">
        <is>
          <t>TS1</t>
        </is>
      </c>
      <c r="E42" s="4" t="inlineStr">
        <is>
          <t>Score the end-to-end list</t>
        </is>
      </c>
      <c r="F42" s="4" t="inlineStr">
        <is>
          <t>Pick list "TS1", set Score as of 2026-10-20, upload TS1_End_to_end.xlsx.</t>
        </is>
      </c>
      <c r="G42" s="4" t="inlineStr">
        <is>
          <t>Tier A 4, B 8, C 2, watch list 1 (Penang Refining), below fit floor 1 (Delta Biofuels Trading). Each account as in TS1 "Answer key - accounts".</t>
        </is>
      </c>
      <c r="H42" s="4" t="inlineStr">
        <is>
          <t>High</t>
        </is>
      </c>
      <c r="I42" s="4" t="inlineStr">
        <is>
          <t>Not run</t>
        </is>
      </c>
      <c r="J42" s="5" t="inlineStr"/>
      <c r="K42" s="5" t="inlineStr"/>
      <c r="L42" s="6" t="inlineStr"/>
      <c r="M42" s="5" t="inlineStr"/>
    </row>
    <row r="43">
      <c r="A43" s="4" t="inlineStr">
        <is>
          <t>SC-002</t>
        </is>
      </c>
      <c r="B43" s="4" t="inlineStr">
        <is>
          <t>Account Scoring</t>
        </is>
      </c>
      <c r="C43" s="4" t="inlineStr">
        <is>
          <t>Scoring</t>
        </is>
      </c>
      <c r="D43" s="4" t="inlineStr">
        <is>
          <t>TS1</t>
        </is>
      </c>
      <c r="E43" s="4" t="inlineStr">
        <is>
          <t>Fit breakdown adds up</t>
        </is>
      </c>
      <c r="F43" s="4" t="inlineStr">
        <is>
          <t>Open Northgate Refining and read the fit breakdown.</t>
        </is>
      </c>
      <c r="G43" s="4" t="inlineStr">
        <is>
          <t>The six parts (vertical 30, size 20, site 20, relationship 15, account type 10, contacts 5) add up to the fit shown.</t>
        </is>
      </c>
      <c r="H43" s="4" t="inlineStr">
        <is>
          <t>Medium</t>
        </is>
      </c>
      <c r="I43" s="4" t="inlineStr">
        <is>
          <t>Not run</t>
        </is>
      </c>
      <c r="J43" s="5" t="inlineStr"/>
      <c r="K43" s="5" t="inlineStr"/>
      <c r="L43" s="6" t="inlineStr"/>
      <c r="M43" s="5" t="inlineStr"/>
    </row>
    <row r="44">
      <c r="A44" s="4" t="inlineStr">
        <is>
          <t>SC-003</t>
        </is>
      </c>
      <c r="B44" s="4" t="inlineStr">
        <is>
          <t>Account Scoring</t>
        </is>
      </c>
      <c r="C44" s="4" t="inlineStr">
        <is>
          <t>Scoring</t>
        </is>
      </c>
      <c r="D44" s="4" t="inlineStr">
        <is>
          <t>TS1</t>
        </is>
      </c>
      <c r="E44" s="4" t="inlineStr">
        <is>
          <t>Why-now line names the evidence</t>
        </is>
      </c>
      <c r="F44" s="4" t="inlineStr">
        <is>
          <t>Open any tier A account.</t>
        </is>
      </c>
      <c r="G44" s="4" t="inlineStr">
        <is>
          <t>The why-now line quotes the strongest signal(s) with the person, and the source and date.</t>
        </is>
      </c>
      <c r="H44" s="4" t="inlineStr">
        <is>
          <t>Medium</t>
        </is>
      </c>
      <c r="I44" s="4" t="inlineStr">
        <is>
          <t>Not run</t>
        </is>
      </c>
      <c r="J44" s="5" t="inlineStr"/>
      <c r="K44" s="5" t="inlineStr"/>
      <c r="L44" s="6" t="inlineStr"/>
      <c r="M44" s="5" t="inlineStr"/>
    </row>
    <row r="45">
      <c r="A45" s="4" t="inlineStr">
        <is>
          <t>SC-004</t>
        </is>
      </c>
      <c r="B45" s="4" t="inlineStr">
        <is>
          <t>Account Scoring</t>
        </is>
      </c>
      <c r="C45" s="4" t="inlineStr">
        <is>
          <t>Scoring</t>
        </is>
      </c>
      <c r="D45" s="4" t="inlineStr">
        <is>
          <t>TS1</t>
        </is>
      </c>
      <c r="E45" s="4" t="inlineStr">
        <is>
          <t>Save and reopen a scoring run</t>
        </is>
      </c>
      <c r="F45" s="4" t="inlineStr">
        <is>
          <t>Save the scoring run, reload, reopen it.</t>
        </is>
      </c>
      <c r="G45" s="4" t="inlineStr">
        <is>
          <t>Same tiers and scores as before the reload.</t>
        </is>
      </c>
      <c r="H45" s="4" t="inlineStr">
        <is>
          <t>Medium</t>
        </is>
      </c>
      <c r="I45" s="4" t="inlineStr">
        <is>
          <t>Not run</t>
        </is>
      </c>
      <c r="J45" s="5" t="inlineStr"/>
      <c r="K45" s="5" t="inlineStr"/>
      <c r="L45" s="6" t="inlineStr"/>
      <c r="M45" s="5" t="inlineStr"/>
    </row>
    <row r="46">
      <c r="A46" s="4" t="inlineStr">
        <is>
          <t>SC-005</t>
        </is>
      </c>
      <c r="B46" s="4" t="inlineStr">
        <is>
          <t>Account Scoring</t>
        </is>
      </c>
      <c r="C46" s="4" t="inlineStr">
        <is>
          <t>Scoring</t>
        </is>
      </c>
      <c r="D46" s="4" t="inlineStr">
        <is>
          <t>TS1</t>
        </is>
      </c>
      <c r="E46" s="4" t="inlineStr">
        <is>
          <t>Send to Micro-segments</t>
        </is>
      </c>
      <c r="F46" s="4" t="inlineStr">
        <is>
          <t>Send the scored list to Micro-segments &amp; NBA.</t>
        </is>
      </c>
      <c r="G46" s="4" t="inlineStr">
        <is>
          <t>Micro-segments &amp; NBA opens with the TS1 scoring selected.</t>
        </is>
      </c>
      <c r="H46" s="4" t="inlineStr">
        <is>
          <t>High</t>
        </is>
      </c>
      <c r="I46" s="4" t="inlineStr">
        <is>
          <t>Not run</t>
        </is>
      </c>
      <c r="J46" s="5" t="inlineStr"/>
      <c r="K46" s="5" t="inlineStr"/>
      <c r="L46" s="6" t="inlineStr"/>
      <c r="M46" s="5" t="inlineStr"/>
    </row>
    <row r="47">
      <c r="A47" s="4" t="inlineStr">
        <is>
          <t>SC-006</t>
        </is>
      </c>
      <c r="B47" s="4" t="inlineStr">
        <is>
          <t>Account Scoring</t>
        </is>
      </c>
      <c r="C47" s="4" t="inlineStr">
        <is>
          <t>Setup link</t>
        </is>
      </c>
      <c r="D47" s="4" t="inlineStr">
        <is>
          <t>TS3</t>
        </is>
      </c>
      <c r="E47" s="4" t="inlineStr">
        <is>
          <t>A signal type switched off in Setup is rejected</t>
        </is>
      </c>
      <c r="F47" s="4" t="inlineStr">
        <is>
          <t>In Setup switch off "Content download". Score TS1 with the TS3 file. Switch it back on.</t>
        </is>
      </c>
      <c r="G47" s="4" t="inlineStr">
        <is>
          <t>Row 14 is rejected as OFF (switched off in Setup).</t>
        </is>
      </c>
      <c r="H47" s="4" t="inlineStr">
        <is>
          <t>Medium</t>
        </is>
      </c>
      <c r="I47" s="4" t="inlineStr">
        <is>
          <t>Not run</t>
        </is>
      </c>
      <c r="J47" s="5" t="inlineStr"/>
      <c r="K47" s="5" t="inlineStr"/>
      <c r="L47" s="6" t="inlineStr"/>
      <c r="M47" s="5" t="inlineStr"/>
    </row>
    <row r="48">
      <c r="A48" s="4" t="inlineStr">
        <is>
          <t>SC-007</t>
        </is>
      </c>
      <c r="B48" s="4" t="inlineStr">
        <is>
          <t>Account Scoring</t>
        </is>
      </c>
      <c r="C48" s="4" t="inlineStr">
        <is>
          <t>Signal rules</t>
        </is>
      </c>
      <c r="D48" s="4" t="inlineStr">
        <is>
          <t>TS3</t>
        </is>
      </c>
      <c r="E48" s="4" t="inlineStr">
        <is>
          <t>Signal row 2: Control row</t>
        </is>
      </c>
      <c r="F48" s="4" t="inlineStr">
        <is>
          <t>Pick list "TS1", Score as of 2026-10-20, upload TS3_Signal_edge_cases.xlsx; find row 2.</t>
        </is>
      </c>
      <c r="G48" s="4" t="inlineStr">
        <is>
          <t>Status Qualified, code Y2</t>
        </is>
      </c>
      <c r="H48" s="4" t="inlineStr">
        <is>
          <t>Medium</t>
        </is>
      </c>
      <c r="I48" s="4" t="inlineStr">
        <is>
          <t>Not run</t>
        </is>
      </c>
      <c r="J48" s="5" t="inlineStr"/>
      <c r="K48" s="5" t="inlineStr"/>
      <c r="L48" s="6" t="inlineStr"/>
      <c r="M48" s="5" t="inlineStr"/>
    </row>
    <row r="49">
      <c r="A49" s="4" t="inlineStr">
        <is>
          <t>SC-008</t>
        </is>
      </c>
      <c r="B49" s="4" t="inlineStr">
        <is>
          <t>Account Scoring</t>
        </is>
      </c>
      <c r="C49" s="4" t="inlineStr">
        <is>
          <t>Signal rules</t>
        </is>
      </c>
      <c r="D49" s="4" t="inlineStr">
        <is>
          <t>TS3</t>
        </is>
      </c>
      <c r="E49" s="4" t="inlineStr">
        <is>
          <t>Signal row 3: Company not in the lead file</t>
        </is>
      </c>
      <c r="F49" s="4" t="inlineStr">
        <is>
          <t>Pick list "TS1", Score as of 2026-10-20, upload TS3_Signal_edge_cases.xlsx; find row 3.</t>
        </is>
      </c>
      <c r="G49" s="4" t="inlineStr">
        <is>
          <t>Status Rejected, code D4: Company is not in the target universe</t>
        </is>
      </c>
      <c r="H49" s="4" t="inlineStr">
        <is>
          <t>Medium</t>
        </is>
      </c>
      <c r="I49" s="4" t="inlineStr">
        <is>
          <t>Not run</t>
        </is>
      </c>
      <c r="J49" s="5" t="inlineStr"/>
      <c r="K49" s="5" t="inlineStr"/>
      <c r="L49" s="6" t="inlineStr"/>
      <c r="M49" s="5" t="inlineStr"/>
    </row>
    <row r="50">
      <c r="A50" s="4" t="inlineStr">
        <is>
          <t>SC-009</t>
        </is>
      </c>
      <c r="B50" s="4" t="inlineStr">
        <is>
          <t>Account Scoring</t>
        </is>
      </c>
      <c r="C50" s="4" t="inlineStr">
        <is>
          <t>Signal rules</t>
        </is>
      </c>
      <c r="D50" s="4" t="inlineStr">
        <is>
          <t>TS3</t>
        </is>
      </c>
      <c r="E50" s="4" t="inlineStr">
        <is>
          <t>Signal row 4: Person not in the lead file: suggested as a new contact</t>
        </is>
      </c>
      <c r="F50" s="4" t="inlineStr">
        <is>
          <t>Pick list "TS1", Score as of 2026-10-20, upload TS3_Signal_edge_cases.xlsx; find row 4.</t>
        </is>
      </c>
      <c r="G50" s="4" t="inlineStr">
        <is>
          <t>Status Rejected, code D4: Person new.person@kestrelpetchem.com is not in the lead file for this account (sent back as a suggested new contact)</t>
        </is>
      </c>
      <c r="H50" s="4" t="inlineStr">
        <is>
          <t>Medium</t>
        </is>
      </c>
      <c r="I50" s="4" t="inlineStr">
        <is>
          <t>Not run</t>
        </is>
      </c>
      <c r="J50" s="5" t="inlineStr"/>
      <c r="K50" s="5" t="inlineStr"/>
      <c r="L50" s="6" t="inlineStr"/>
      <c r="M50" s="5" t="inlineStr"/>
    </row>
    <row r="51">
      <c r="A51" s="4" t="inlineStr">
        <is>
          <t>SC-010</t>
        </is>
      </c>
      <c r="B51" s="4" t="inlineStr">
        <is>
          <t>Account Scoring</t>
        </is>
      </c>
      <c r="C51" s="4" t="inlineStr">
        <is>
          <t>Signal rules</t>
        </is>
      </c>
      <c r="D51" s="4" t="inlineStr">
        <is>
          <t>TS3</t>
        </is>
      </c>
      <c r="E51" s="4" t="inlineStr">
        <is>
          <t>Signal row 5: No event date</t>
        </is>
      </c>
      <c r="F51" s="4" t="inlineStr">
        <is>
          <t>Pick list "TS1", Score as of 2026-10-20, upload TS3_Signal_edge_cases.xlsx; find row 5.</t>
        </is>
      </c>
      <c r="G51" s="4" t="inlineStr">
        <is>
          <t>Status Rejected, code D3: No event date</t>
        </is>
      </c>
      <c r="H51" s="4" t="inlineStr">
        <is>
          <t>Medium</t>
        </is>
      </c>
      <c r="I51" s="4" t="inlineStr">
        <is>
          <t>Not run</t>
        </is>
      </c>
      <c r="J51" s="5" t="inlineStr"/>
      <c r="K51" s="5" t="inlineStr"/>
      <c r="L51" s="6" t="inlineStr"/>
      <c r="M51" s="5" t="inlineStr"/>
    </row>
    <row r="52">
      <c r="A52" s="4" t="inlineStr">
        <is>
          <t>SC-011</t>
        </is>
      </c>
      <c r="B52" s="4" t="inlineStr">
        <is>
          <t>Account Scoring</t>
        </is>
      </c>
      <c r="C52" s="4" t="inlineStr">
        <is>
          <t>Signal rules</t>
        </is>
      </c>
      <c r="D52" s="4" t="inlineStr">
        <is>
          <t>TS3</t>
        </is>
      </c>
      <c r="E52" s="4" t="inlineStr">
        <is>
          <t>Signal row 6: Date not in YYYY-MM-DD form</t>
        </is>
      </c>
      <c r="F52" s="4" t="inlineStr">
        <is>
          <t>Pick list "TS1", Score as of 2026-10-20, upload TS3_Signal_edge_cases.xlsx; find row 6.</t>
        </is>
      </c>
      <c r="G52" s="4" t="inlineStr">
        <is>
          <t>Status Rejected, code D3: Event date "12/09/2026" isn't YYYY-MM-DD</t>
        </is>
      </c>
      <c r="H52" s="4" t="inlineStr">
        <is>
          <t>Medium</t>
        </is>
      </c>
      <c r="I52" s="4" t="inlineStr">
        <is>
          <t>Not run</t>
        </is>
      </c>
      <c r="J52" s="5" t="inlineStr"/>
      <c r="K52" s="5" t="inlineStr"/>
      <c r="L52" s="6" t="inlineStr"/>
      <c r="M52" s="5" t="inlineStr"/>
    </row>
    <row r="53">
      <c r="A53" s="4" t="inlineStr">
        <is>
          <t>SC-012</t>
        </is>
      </c>
      <c r="B53" s="4" t="inlineStr">
        <is>
          <t>Account Scoring</t>
        </is>
      </c>
      <c r="C53" s="4" t="inlineStr">
        <is>
          <t>Signal rules</t>
        </is>
      </c>
      <c r="D53" s="4" t="inlineStr">
        <is>
          <t>TS3</t>
        </is>
      </c>
      <c r="E53" s="4" t="inlineStr">
        <is>
          <t>Signal row 7: Future date</t>
        </is>
      </c>
      <c r="F53" s="4" t="inlineStr">
        <is>
          <t>Pick list "TS1", Score as of 2026-10-20, upload TS3_Signal_edge_cases.xlsx; find row 7.</t>
        </is>
      </c>
      <c r="G53" s="4" t="inlineStr">
        <is>
          <t>Status Rejected, code D3: Event date 2026-11-30 is after the scoring date 2026-10-20</t>
        </is>
      </c>
      <c r="H53" s="4" t="inlineStr">
        <is>
          <t>Medium</t>
        </is>
      </c>
      <c r="I53" s="4" t="inlineStr">
        <is>
          <t>Not run</t>
        </is>
      </c>
      <c r="J53" s="5" t="inlineStr"/>
      <c r="K53" s="5" t="inlineStr"/>
      <c r="L53" s="6" t="inlineStr"/>
      <c r="M53" s="5" t="inlineStr"/>
    </row>
    <row r="54">
      <c r="A54" s="4" t="inlineStr">
        <is>
          <t>SC-013</t>
        </is>
      </c>
      <c r="B54" s="4" t="inlineStr">
        <is>
          <t>Account Scoring</t>
        </is>
      </c>
      <c r="C54" s="4" t="inlineStr">
        <is>
          <t>Signal rules</t>
        </is>
      </c>
      <c r="D54" s="4" t="inlineStr">
        <is>
          <t>TS3</t>
        </is>
      </c>
      <c r="E54" s="4" t="inlineStr">
        <is>
          <t>Signal row 8: Signal type not on the list</t>
        </is>
      </c>
      <c r="F54" s="4" t="inlineStr">
        <is>
          <t>Pick list "TS1", Score as of 2026-10-20, upload TS3_Signal_edge_cases.xlsx; find row 8.</t>
        </is>
      </c>
      <c r="G54" s="4" t="inlineStr">
        <is>
          <t>Status Rejected, code D3: Signal type "Trade show visit" isn't on the list</t>
        </is>
      </c>
      <c r="H54" s="4" t="inlineStr">
        <is>
          <t>Medium</t>
        </is>
      </c>
      <c r="I54" s="4" t="inlineStr">
        <is>
          <t>Not run</t>
        </is>
      </c>
      <c r="J54" s="5" t="inlineStr"/>
      <c r="K54" s="5" t="inlineStr"/>
      <c r="L54" s="6" t="inlineStr"/>
      <c r="M54" s="5" t="inlineStr"/>
    </row>
    <row r="55">
      <c r="A55" s="4" t="inlineStr">
        <is>
          <t>SC-014</t>
        </is>
      </c>
      <c r="B55" s="4" t="inlineStr">
        <is>
          <t>Account Scoring</t>
        </is>
      </c>
      <c r="C55" s="4" t="inlineStr">
        <is>
          <t>Signal rules</t>
        </is>
      </c>
      <c r="D55" s="4" t="inlineStr">
        <is>
          <t>TS3</t>
        </is>
      </c>
      <c r="E55" s="4" t="inlineStr">
        <is>
          <t>Signal row 9: Newsletter sign-up does not predict buying</t>
        </is>
      </c>
      <c r="F55" s="4" t="inlineStr">
        <is>
          <t>Pick list "TS1", Score as of 2026-10-20, upload TS3_Signal_edge_cases.xlsx; find row 9.</t>
        </is>
      </c>
      <c r="G55" s="4" t="inlineStr">
        <is>
          <t>Status Rejected, code D1: Doesn't predict buying the pilot product</t>
        </is>
      </c>
      <c r="H55" s="4" t="inlineStr">
        <is>
          <t>Medium</t>
        </is>
      </c>
      <c r="I55" s="4" t="inlineStr">
        <is>
          <t>Not run</t>
        </is>
      </c>
      <c r="J55" s="5" t="inlineStr"/>
      <c r="K55" s="5" t="inlineStr"/>
      <c r="L55" s="6" t="inlineStr"/>
      <c r="M55" s="5" t="inlineStr"/>
    </row>
    <row r="56">
      <c r="A56" s="4" t="inlineStr">
        <is>
          <t>SC-015</t>
        </is>
      </c>
      <c r="B56" s="4" t="inlineStr">
        <is>
          <t>Account Scoring</t>
        </is>
      </c>
      <c r="C56" s="4" t="inlineStr">
        <is>
          <t>Signal rules</t>
        </is>
      </c>
      <c r="D56" s="4" t="inlineStr">
        <is>
          <t>TS3</t>
        </is>
      </c>
      <c r="E56" s="4" t="inlineStr">
        <is>
          <t>Signal row 10: Stale: older than the 60 days an email click counts for</t>
        </is>
      </c>
      <c r="F56" s="4" t="inlineStr">
        <is>
          <t>Pick list "TS1", Score as of 2026-10-20, upload TS3_Signal_edge_cases.xlsx; find row 10.</t>
        </is>
      </c>
      <c r="G56" s="4" t="inlineStr">
        <is>
          <t>Status Rejected, code D2: 172 days old; this signal type counts for 60 days</t>
        </is>
      </c>
      <c r="H56" s="4" t="inlineStr">
        <is>
          <t>Medium</t>
        </is>
      </c>
      <c r="I56" s="4" t="inlineStr">
        <is>
          <t>Not run</t>
        </is>
      </c>
      <c r="J56" s="5" t="inlineStr"/>
      <c r="K56" s="5" t="inlineStr"/>
      <c r="L56" s="6" t="inlineStr"/>
      <c r="M56" s="5" t="inlineStr"/>
    </row>
    <row r="57">
      <c r="A57" s="4" t="inlineStr">
        <is>
          <t>SC-016</t>
        </is>
      </c>
      <c r="B57" s="4" t="inlineStr">
        <is>
          <t>Account Scoring</t>
        </is>
      </c>
      <c r="C57" s="4" t="inlineStr">
        <is>
          <t>Signal rules</t>
        </is>
      </c>
      <c r="D57" s="4" t="inlineStr">
        <is>
          <t>TS3</t>
        </is>
      </c>
      <c r="E57" s="4" t="inlineStr">
        <is>
          <t>Signal row 11: Control for the duplicate below</t>
        </is>
      </c>
      <c r="F57" s="4" t="inlineStr">
        <is>
          <t>Pick list "TS1", Score as of 2026-10-20, upload TS3_Signal_edge_cases.xlsx; find row 11.</t>
        </is>
      </c>
      <c r="G57" s="4" t="inlineStr">
        <is>
          <t>Status Qualified, code C1w</t>
        </is>
      </c>
      <c r="H57" s="4" t="inlineStr">
        <is>
          <t>Medium</t>
        </is>
      </c>
      <c r="I57" s="4" t="inlineStr">
        <is>
          <t>Not run</t>
        </is>
      </c>
      <c r="J57" s="5" t="inlineStr"/>
      <c r="K57" s="5" t="inlineStr"/>
      <c r="L57" s="6" t="inlineStr"/>
      <c r="M57" s="5" t="inlineStr"/>
    </row>
    <row r="58">
      <c r="A58" s="4" t="inlineStr">
        <is>
          <t>SC-017</t>
        </is>
      </c>
      <c r="B58" s="4" t="inlineStr">
        <is>
          <t>Account Scoring</t>
        </is>
      </c>
      <c r="C58" s="4" t="inlineStr">
        <is>
          <t>Signal rules</t>
        </is>
      </c>
      <c r="D58" s="4" t="inlineStr">
        <is>
          <t>TS3</t>
        </is>
      </c>
      <c r="E58" s="4" t="inlineStr">
        <is>
          <t>Signal row 12: Duplicate of the row above</t>
        </is>
      </c>
      <c r="F58" s="4" t="inlineStr">
        <is>
          <t>Pick list "TS1", Score as of 2026-10-20, upload TS3_Signal_edge_cases.xlsx; find row 12.</t>
        </is>
      </c>
      <c r="G58" s="4" t="inlineStr">
        <is>
          <t>Status Rejected, code D5: Same event already recorded (SIG-10)</t>
        </is>
      </c>
      <c r="H58" s="4" t="inlineStr">
        <is>
          <t>Medium</t>
        </is>
      </c>
      <c r="I58" s="4" t="inlineStr">
        <is>
          <t>Not run</t>
        </is>
      </c>
      <c r="J58" s="5" t="inlineStr"/>
      <c r="K58" s="5" t="inlineStr"/>
      <c r="L58" s="6" t="inlineStr"/>
      <c r="M58" s="5" t="inlineStr"/>
    </row>
    <row r="59">
      <c r="A59" s="4" t="inlineStr">
        <is>
          <t>SC-018</t>
        </is>
      </c>
      <c r="B59" s="4" t="inlineStr">
        <is>
          <t>Account Scoring</t>
        </is>
      </c>
      <c r="C59" s="4" t="inlineStr">
        <is>
          <t>Signal rules</t>
        </is>
      </c>
      <c r="D59" s="4" t="inlineStr">
        <is>
          <t>TS3</t>
        </is>
      </c>
      <c r="E59" s="4" t="inlineStr">
        <is>
          <t>Signal row 13: Knock-out: the account is excluded in Scoring</t>
        </is>
      </c>
      <c r="F59" s="4" t="inlineStr">
        <is>
          <t>Pick list "TS1", Score as of 2026-10-20, upload TS3_Signal_edge_cases.xlsx; find row 13.</t>
        </is>
      </c>
      <c r="G59" s="4" t="inlineStr">
        <is>
          <t>Status Used for a knock-out: Current pilot product installed: account excluded</t>
        </is>
      </c>
      <c r="H59" s="4" t="inlineStr">
        <is>
          <t>Medium</t>
        </is>
      </c>
      <c r="I59" s="4" t="inlineStr">
        <is>
          <t>Not run</t>
        </is>
      </c>
      <c r="J59" s="5" t="inlineStr"/>
      <c r="K59" s="5" t="inlineStr"/>
      <c r="L59" s="6" t="inlineStr"/>
      <c r="M59" s="5" t="inlineStr"/>
    </row>
    <row r="60">
      <c r="A60" s="4" t="inlineStr">
        <is>
          <t>SC-019</t>
        </is>
      </c>
      <c r="B60" s="4" t="inlineStr">
        <is>
          <t>Account Scoring</t>
        </is>
      </c>
      <c r="C60" s="4" t="inlineStr">
        <is>
          <t>Signal rules</t>
        </is>
      </c>
      <c r="D60" s="4" t="inlineStr">
        <is>
          <t>TS3</t>
        </is>
      </c>
      <c r="E60" s="4" t="inlineStr">
        <is>
          <t>Signal row 14: No person named: auto-assigned to the primary contact</t>
        </is>
      </c>
      <c r="F60" s="4" t="inlineStr">
        <is>
          <t>Pick list "TS1", Score as of 2026-10-20, upload TS3_Signal_edge_cases.xlsx; find row 14.</t>
        </is>
      </c>
      <c r="G60" s="4" t="inlineStr">
        <is>
          <t>Status Qualified, code C1w</t>
        </is>
      </c>
      <c r="H60" s="4" t="inlineStr">
        <is>
          <t>Medium</t>
        </is>
      </c>
      <c r="I60" s="4" t="inlineStr">
        <is>
          <t>Not run</t>
        </is>
      </c>
      <c r="J60" s="5" t="inlineStr"/>
      <c r="K60" s="5" t="inlineStr"/>
      <c r="L60" s="6" t="inlineStr"/>
      <c r="M60" s="5" t="inlineStr"/>
    </row>
    <row r="61">
      <c r="A61" s="4" t="inlineStr">
        <is>
          <t>SC-020</t>
        </is>
      </c>
      <c r="B61" s="4" t="inlineStr">
        <is>
          <t>Account Scoring</t>
        </is>
      </c>
      <c r="C61" s="4" t="inlineStr">
        <is>
          <t>Signal rules</t>
        </is>
      </c>
      <c r="D61" s="4" t="inlineStr">
        <is>
          <t>TS3</t>
        </is>
      </c>
      <c r="E61" s="4" t="inlineStr">
        <is>
          <t>Signal row 15: Type matched regardless of case</t>
        </is>
      </c>
      <c r="F61" s="4" t="inlineStr">
        <is>
          <t>Pick list "TS1", Score as of 2026-10-20, upload TS3_Signal_edge_cases.xlsx; find row 15.</t>
        </is>
      </c>
      <c r="G61" s="4" t="inlineStr">
        <is>
          <t>Status Qualified, code C1w</t>
        </is>
      </c>
      <c r="H61" s="4" t="inlineStr">
        <is>
          <t>Medium</t>
        </is>
      </c>
      <c r="I61" s="4" t="inlineStr">
        <is>
          <t>Not run</t>
        </is>
      </c>
      <c r="J61" s="5" t="inlineStr"/>
      <c r="K61" s="5" t="inlineStr"/>
      <c r="L61" s="6" t="inlineStr"/>
      <c r="M61" s="5" t="inlineStr"/>
    </row>
    <row r="62">
      <c r="A62" s="4" t="inlineStr">
        <is>
          <t>SC-021</t>
        </is>
      </c>
      <c r="B62" s="4" t="inlineStr">
        <is>
          <t>Account Scoring</t>
        </is>
      </c>
      <c r="C62" s="4" t="inlineStr">
        <is>
          <t>Signal rules</t>
        </is>
      </c>
      <c r="D62" s="4" t="inlineStr">
        <is>
          <t>TS3</t>
        </is>
      </c>
      <c r="E62" s="4" t="inlineStr">
        <is>
          <t>Signal row 16: No detail: qualified, why-now line names only the type</t>
        </is>
      </c>
      <c r="F62" s="4" t="inlineStr">
        <is>
          <t>Pick list "TS1", Score as of 2026-10-20, upload TS3_Signal_edge_cases.xlsx; find row 16.</t>
        </is>
      </c>
      <c r="G62" s="4" t="inlineStr">
        <is>
          <t>Status Qualified, code C1c</t>
        </is>
      </c>
      <c r="H62" s="4" t="inlineStr">
        <is>
          <t>Medium</t>
        </is>
      </c>
      <c r="I62" s="4" t="inlineStr">
        <is>
          <t>Not run</t>
        </is>
      </c>
      <c r="J62" s="5" t="inlineStr"/>
      <c r="K62" s="5" t="inlineStr"/>
      <c r="L62" s="6" t="inlineStr"/>
      <c r="M62" s="5" t="inlineStr"/>
    </row>
    <row r="63">
      <c r="A63" s="4" t="inlineStr">
        <is>
          <t>SC-022</t>
        </is>
      </c>
      <c r="B63" s="4" t="inlineStr">
        <is>
          <t>Account Scoring</t>
        </is>
      </c>
      <c r="C63" s="4" t="inlineStr">
        <is>
          <t>Signal rules</t>
        </is>
      </c>
      <c r="D63" s="4" t="inlineStr">
        <is>
          <t>TS3</t>
        </is>
      </c>
      <c r="E63" s="4" t="inlineStr">
        <is>
          <t>Signal row 17: No company name</t>
        </is>
      </c>
      <c r="F63" s="4" t="inlineStr">
        <is>
          <t>Pick list "TS1", Score as of 2026-10-20, upload TS3_Signal_edge_cases.xlsx; find row 17.</t>
        </is>
      </c>
      <c r="G63" s="4" t="inlineStr">
        <is>
          <t>Status Rejected, code D3: No company name</t>
        </is>
      </c>
      <c r="H63" s="4" t="inlineStr">
        <is>
          <t>Medium</t>
        </is>
      </c>
      <c r="I63" s="4" t="inlineStr">
        <is>
          <t>Not run</t>
        </is>
      </c>
      <c r="J63" s="5" t="inlineStr"/>
      <c r="K63" s="5" t="inlineStr"/>
      <c r="L63" s="6" t="inlineStr"/>
      <c r="M63" s="5" t="inlineStr"/>
    </row>
    <row r="64">
      <c r="A64" s="4" t="inlineStr">
        <is>
          <t>SC-023</t>
        </is>
      </c>
      <c r="B64" s="4" t="inlineStr">
        <is>
          <t>Account Scoring</t>
        </is>
      </c>
      <c r="C64" s="4" t="inlineStr">
        <is>
          <t>Whole set</t>
        </is>
      </c>
      <c r="D64" s="4" t="inlineStr">
        <is>
          <t>TS7</t>
        </is>
      </c>
      <c r="E64" s="4" t="inlineStr">
        <is>
          <t>Scoring and fit boundaries: run the set end to end</t>
        </is>
      </c>
      <c r="F64" s="4" t="inlineStr">
        <is>
          <t>Prospecting: upload TS7_Scoring_boundaries.xlsx, save as "TS7". Scoring: list "TS7", Score as of 2026-10-20, same file. Build Micro-segments from that scoring.</t>
        </is>
      </c>
      <c r="G64" s="4" t="inlineStr">
        <is>
          <t>Tiers: A 11, B 4, C 1, Watch list 1, Below fit floor 1, Excluded 2. Segments: Inquiry 15. 2 item(s) in For Review, 13 going ahead.</t>
        </is>
      </c>
      <c r="H64" s="4" t="inlineStr">
        <is>
          <t>High</t>
        </is>
      </c>
      <c r="I64" s="4" t="inlineStr">
        <is>
          <t>Not run</t>
        </is>
      </c>
      <c r="J64" s="5" t="inlineStr"/>
      <c r="K64" s="5" t="inlineStr"/>
      <c r="L64" s="6" t="inlineStr"/>
      <c r="M64" s="5" t="inlineStr"/>
    </row>
    <row r="65">
      <c r="A65" s="4" t="inlineStr">
        <is>
          <t>SC-024</t>
        </is>
      </c>
      <c r="B65" s="4" t="inlineStr">
        <is>
          <t>Account Scoring</t>
        </is>
      </c>
      <c r="C65" s="4" t="inlineStr">
        <is>
          <t>Fit and tiers</t>
        </is>
      </c>
      <c r="D65" s="4" t="inlineStr">
        <is>
          <t>TS7</t>
        </is>
      </c>
      <c r="E65" s="4" t="inlineStr">
        <is>
          <t>Apex Refining: Maximum fit (100) and a fresh inquiry (weight 100): score 50</t>
        </is>
      </c>
      <c r="F65" s="4" t="inlineStr">
        <is>
          <t>In the TS7 run, open Apex Refining.</t>
        </is>
      </c>
      <c r="G65" s="4" t="inlineStr">
        <is>
          <t>Fit 100; score 50;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65" s="4" t="inlineStr">
        <is>
          <t>Medium</t>
        </is>
      </c>
      <c r="I65" s="4" t="inlineStr">
        <is>
          <t>Not run</t>
        </is>
      </c>
      <c r="J65" s="5" t="inlineStr"/>
      <c r="K65" s="5" t="inlineStr"/>
      <c r="L65" s="6" t="inlineStr"/>
      <c r="M65" s="5" t="inlineStr"/>
    </row>
    <row r="66">
      <c r="A66" s="4" t="inlineStr">
        <is>
          <t>SC-025</t>
        </is>
      </c>
      <c r="B66" s="4" t="inlineStr">
        <is>
          <t>Account Scoring</t>
        </is>
      </c>
      <c r="C66" s="4" t="inlineStr">
        <is>
          <t>Fit and tiers</t>
        </is>
      </c>
      <c r="D66" s="4" t="inlineStr">
        <is>
          <t>TS7</t>
        </is>
      </c>
      <c r="E66" s="4" t="inlineStr">
        <is>
          <t>Bayfront Refining: Inquiry 48 days old decays to weight 70: score exactly 35, the A cut-off</t>
        </is>
      </c>
      <c r="F66" s="4" t="inlineStr">
        <is>
          <t>In the TS7 run, open Bayfront Refining.</t>
        </is>
      </c>
      <c r="G66" s="4" t="inlineStr">
        <is>
          <t>Fit 100; score 35;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66" s="4" t="inlineStr">
        <is>
          <t>Medium</t>
        </is>
      </c>
      <c r="I66" s="4" t="inlineStr">
        <is>
          <t>Not run</t>
        </is>
      </c>
      <c r="J66" s="5" t="inlineStr"/>
      <c r="K66" s="5" t="inlineStr"/>
      <c r="L66" s="6" t="inlineStr"/>
      <c r="M66" s="5" t="inlineStr"/>
    </row>
    <row r="67">
      <c r="A67" s="4" t="inlineStr">
        <is>
          <t>SC-026</t>
        </is>
      </c>
      <c r="B67" s="4" t="inlineStr">
        <is>
          <t>Account Scoring</t>
        </is>
      </c>
      <c r="C67" s="4" t="inlineStr">
        <is>
          <t>Fit and tiers</t>
        </is>
      </c>
      <c r="D67" s="4" t="inlineStr">
        <is>
          <t>TS7</t>
        </is>
      </c>
      <c r="E67" s="4" t="inlineStr">
        <is>
          <t>Coldwater Refining: Inquiry 49 days old decays to weight 68.3: score 34.2, just under A</t>
        </is>
      </c>
      <c r="F67" s="4" t="inlineStr">
        <is>
          <t>In the TS7 run, open Coldwater Refining.</t>
        </is>
      </c>
      <c r="G67" s="4" t="inlineStr">
        <is>
          <t>Fit 100; score 34.2; tier B; confidence medium; micro-segment Inquiry; action "Call to follow up on the inquiry", runner-up "Route the inquiry to the sales owner"; to Alex Tan by Email; For Review: None: goes ahead on its own (may be drawn for a spot-check)</t>
        </is>
      </c>
      <c r="H67" s="4" t="inlineStr">
        <is>
          <t>Medium</t>
        </is>
      </c>
      <c r="I67" s="4" t="inlineStr">
        <is>
          <t>Not run</t>
        </is>
      </c>
      <c r="J67" s="5" t="inlineStr"/>
      <c r="K67" s="5" t="inlineStr"/>
      <c r="L67" s="6" t="inlineStr"/>
      <c r="M67" s="5" t="inlineStr"/>
    </row>
    <row r="68">
      <c r="A68" s="4" t="inlineStr">
        <is>
          <t>SC-027</t>
        </is>
      </c>
      <c r="B68" s="4" t="inlineStr">
        <is>
          <t>Account Scoring</t>
        </is>
      </c>
      <c r="C68" s="4" t="inlineStr">
        <is>
          <t>Fit and tiers</t>
        </is>
      </c>
      <c r="D68" s="4" t="inlineStr">
        <is>
          <t>TS7</t>
        </is>
      </c>
      <c r="E68" s="4" t="inlineStr">
        <is>
          <t>Driftwood Refining: Inquiry 66 days old decays to weight 40: score exactly 20, the B cut-off</t>
        </is>
      </c>
      <c r="F68" s="4" t="inlineStr">
        <is>
          <t>In the TS7 run, open Driftwood Refining.</t>
        </is>
      </c>
      <c r="G68" s="4" t="inlineStr">
        <is>
          <t>Fit 100; score 20; tier B; confidence medium; micro-segment Inquiry; action "Call to follow up on the inquiry", runner-up "Route the inquiry to the sales owner"; to Alex Tan by Email; For Review: None: goes ahead on its own (may be drawn for a spot-check)</t>
        </is>
      </c>
      <c r="H68" s="4" t="inlineStr">
        <is>
          <t>Medium</t>
        </is>
      </c>
      <c r="I68" s="4" t="inlineStr">
        <is>
          <t>Not run</t>
        </is>
      </c>
      <c r="J68" s="5" t="inlineStr"/>
      <c r="K68" s="5" t="inlineStr"/>
      <c r="L68" s="6" t="inlineStr"/>
      <c r="M68" s="5" t="inlineStr"/>
    </row>
    <row r="69">
      <c r="A69" s="4" t="inlineStr">
        <is>
          <t>SC-028</t>
        </is>
      </c>
      <c r="B69" s="4" t="inlineStr">
        <is>
          <t>Account Scoring</t>
        </is>
      </c>
      <c r="C69" s="4" t="inlineStr">
        <is>
          <t>Fit and tiers</t>
        </is>
      </c>
      <c r="D69" s="4" t="inlineStr">
        <is>
          <t>TS7</t>
        </is>
      </c>
      <c r="E69" s="4" t="inlineStr">
        <is>
          <t>Eastgate Refining: Inquiry 67 days old decays to weight 38.3: score 19.2, just under B</t>
        </is>
      </c>
      <c r="F69" s="4" t="inlineStr">
        <is>
          <t>In the TS7 run, open Eastgate Refining.</t>
        </is>
      </c>
      <c r="G69" s="4" t="inlineStr">
        <is>
          <t>Fit 100; score 19.2; tier C; confidence medium; micro-segment Inquiry; action "Call to follow up on the inquiry", runner-up "Route the inquiry to the sales owner"; to Alex Tan by Email; For Review: None: goes ahead on its own (may be drawn for a spot-check)</t>
        </is>
      </c>
      <c r="H69" s="4" t="inlineStr">
        <is>
          <t>Medium</t>
        </is>
      </c>
      <c r="I69" s="4" t="inlineStr">
        <is>
          <t>Not run</t>
        </is>
      </c>
      <c r="J69" s="5" t="inlineStr"/>
      <c r="K69" s="5" t="inlineStr"/>
      <c r="L69" s="6" t="inlineStr"/>
      <c r="M69" s="5" t="inlineStr"/>
    </row>
    <row r="70">
      <c r="A70" s="4" t="inlineStr">
        <is>
          <t>SC-029</t>
        </is>
      </c>
      <c r="B70" s="4" t="inlineStr">
        <is>
          <t>Account Scoring</t>
        </is>
      </c>
      <c r="C70" s="4" t="inlineStr">
        <is>
          <t>Fit and tiers</t>
        </is>
      </c>
      <c r="D70" s="4" t="inlineStr">
        <is>
          <t>TS7</t>
        </is>
      </c>
      <c r="E70" s="4" t="inlineStr">
        <is>
          <t>Fairhaven Refining: Inquiry exactly 30 days old: still full weight (100)</t>
        </is>
      </c>
      <c r="F70" s="4" t="inlineStr">
        <is>
          <t>In the TS7 run, open Fairhaven Refining.</t>
        </is>
      </c>
      <c r="G70" s="4" t="inlineStr">
        <is>
          <t>Fit 100; score 50;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70" s="4" t="inlineStr">
        <is>
          <t>Medium</t>
        </is>
      </c>
      <c r="I70" s="4" t="inlineStr">
        <is>
          <t>Not run</t>
        </is>
      </c>
      <c r="J70" s="5" t="inlineStr"/>
      <c r="K70" s="5" t="inlineStr"/>
      <c r="L70" s="6" t="inlineStr"/>
      <c r="M70" s="5" t="inlineStr"/>
    </row>
    <row r="71">
      <c r="A71" s="4" t="inlineStr">
        <is>
          <t>SC-030</t>
        </is>
      </c>
      <c r="B71" s="4" t="inlineStr">
        <is>
          <t>Account Scoring</t>
        </is>
      </c>
      <c r="C71" s="4" t="inlineStr">
        <is>
          <t>Fit and tiers</t>
        </is>
      </c>
      <c r="D71" s="4" t="inlineStr">
        <is>
          <t>TS7</t>
        </is>
      </c>
      <c r="E71" s="4" t="inlineStr">
        <is>
          <t>Glenmore Refining: Inquiry exactly 90 days old: weight 0, stale, so no qualified signal: watch list</t>
        </is>
      </c>
      <c r="F71" s="4" t="inlineStr">
        <is>
          <t>In the TS7 run, open Glenmore Refining.</t>
        </is>
      </c>
      <c r="G71" s="4" t="inlineStr">
        <is>
          <t>Fit 100; score 0; tier Watch list; confidence medium</t>
        </is>
      </c>
      <c r="H71" s="4" t="inlineStr">
        <is>
          <t>Medium</t>
        </is>
      </c>
      <c r="I71" s="4" t="inlineStr">
        <is>
          <t>Not run</t>
        </is>
      </c>
      <c r="J71" s="5" t="inlineStr"/>
      <c r="K71" s="5" t="inlineStr"/>
      <c r="L71" s="6" t="inlineStr"/>
      <c r="M71" s="5" t="inlineStr"/>
    </row>
    <row r="72">
      <c r="A72" s="4" t="inlineStr">
        <is>
          <t>SC-031</t>
        </is>
      </c>
      <c r="B72" s="4" t="inlineStr">
        <is>
          <t>Account Scoring</t>
        </is>
      </c>
      <c r="C72" s="4" t="inlineStr">
        <is>
          <t>Fit and tiers</t>
        </is>
      </c>
      <c r="D72" s="4" t="inlineStr">
        <is>
          <t>TS7</t>
        </is>
      </c>
      <c r="E72" s="4" t="inlineStr">
        <is>
          <t>Highcliff Refining: Three fresh signals stack: 100 + 60 x 0.5 + 30 x 0.25 = 137.5, score 68.8</t>
        </is>
      </c>
      <c r="F72" s="4" t="inlineStr">
        <is>
          <t>In the TS7 run, open Highcliff Refining.</t>
        </is>
      </c>
      <c r="G72" s="4" t="inlineStr">
        <is>
          <t>Fit 100; score 68.8; tier A; confidence high; micro-segment Inquiry; action "Call to follow up on the inquiry", runner-up "Route the inquiry to the sales owner"; to Alex Tan by Email; For Review: None: goes ahead on its own (may be drawn for a spot-check)</t>
        </is>
      </c>
      <c r="H72" s="4" t="inlineStr">
        <is>
          <t>Medium</t>
        </is>
      </c>
      <c r="I72" s="4" t="inlineStr">
        <is>
          <t>Not run</t>
        </is>
      </c>
      <c r="J72" s="5" t="inlineStr"/>
      <c r="K72" s="5" t="inlineStr"/>
      <c r="L72" s="6" t="inlineStr"/>
      <c r="M72" s="5" t="inlineStr"/>
    </row>
    <row r="73">
      <c r="A73" s="4" t="inlineStr">
        <is>
          <t>SC-032</t>
        </is>
      </c>
      <c r="B73" s="4" t="inlineStr">
        <is>
          <t>Account Scoring</t>
        </is>
      </c>
      <c r="C73" s="4" t="inlineStr">
        <is>
          <t>Fit and tiers</t>
        </is>
      </c>
      <c r="D73" s="4" t="inlineStr">
        <is>
          <t>TS7</t>
        </is>
      </c>
      <c r="E73" s="4" t="inlineStr">
        <is>
          <t>Ivywood Refining: Signals from two people stack at account level (100 + 60 x 0.5 = 130, score 65); each person is scored on their own</t>
        </is>
      </c>
      <c r="F73" s="4" t="inlineStr">
        <is>
          <t>In the TS7 run, open Ivywood Refining.</t>
        </is>
      </c>
      <c r="G73" s="4" t="inlineStr">
        <is>
          <t>Fit 100; score 65; tier A; confidence high; micro-segment Inquiry; action "Call to follow up on the inquiry", runner-up "Route the inquiry to the sales owner"; to Kai Ong by Email; For Review: None: goes ahead on its own (may be drawn for a spot-check)</t>
        </is>
      </c>
      <c r="H73" s="4" t="inlineStr">
        <is>
          <t>Medium</t>
        </is>
      </c>
      <c r="I73" s="4" t="inlineStr">
        <is>
          <t>Not run</t>
        </is>
      </c>
      <c r="J73" s="5" t="inlineStr"/>
      <c r="K73" s="5" t="inlineStr"/>
      <c r="L73" s="6" t="inlineStr"/>
      <c r="M73" s="5" t="inlineStr"/>
    </row>
    <row r="74">
      <c r="A74" s="4" t="inlineStr">
        <is>
          <t>SC-033</t>
        </is>
      </c>
      <c r="B74" s="4" t="inlineStr">
        <is>
          <t>Account Scoring</t>
        </is>
      </c>
      <c r="C74" s="4" t="inlineStr">
        <is>
          <t>Fit and tiers</t>
        </is>
      </c>
      <c r="D74" s="4" t="inlineStr">
        <is>
          <t>TS7</t>
        </is>
      </c>
      <c r="E74" s="4" t="inlineStr">
        <is>
          <t>Juniper Fuels: Fit exactly 50 (core 30, revenue below target 4, no site 6, not a customer 6, distributor 2, secondary contact only 2): passes the floor</t>
        </is>
      </c>
      <c r="F74" s="4" t="inlineStr">
        <is>
          <t>In the TS7 run, open Juniper Fuels.</t>
        </is>
      </c>
      <c r="G74" s="4" t="inlineStr">
        <is>
          <t>Fit 50; score 25; tier B; confidence low; micro-segment Inquiry; action "Call to follow up on the inquiry", runner-up "Route the inquiry to the sales owner"; to Max Lee by Email; For Review: Below deal size; Low confidence (due: same day)</t>
        </is>
      </c>
      <c r="H74" s="4" t="inlineStr">
        <is>
          <t>Medium</t>
        </is>
      </c>
      <c r="I74" s="4" t="inlineStr">
        <is>
          <t>Not run</t>
        </is>
      </c>
      <c r="J74" s="5" t="inlineStr"/>
      <c r="K74" s="5" t="inlineStr"/>
      <c r="L74" s="6" t="inlineStr"/>
      <c r="M74" s="5" t="inlineStr"/>
    </row>
    <row r="75">
      <c r="A75" s="4" t="inlineStr">
        <is>
          <t>SC-034</t>
        </is>
      </c>
      <c r="B75" s="4" t="inlineStr">
        <is>
          <t>Account Scoring</t>
        </is>
      </c>
      <c r="C75" s="4" t="inlineStr">
        <is>
          <t>Fit and tiers</t>
        </is>
      </c>
      <c r="D75" s="4" t="inlineStr">
        <is>
          <t>TS7</t>
        </is>
      </c>
      <c r="E75" s="4" t="inlineStr">
        <is>
          <t>Kingsbridge Fuels: Fit 49 (core 30, no size given 0, no site 6, not a customer 6, distributor 2, primary contact 5): below the fit floor, not scored</t>
        </is>
      </c>
      <c r="F75" s="4" t="inlineStr">
        <is>
          <t>In the TS7 run, open Kingsbridge Fuels.</t>
        </is>
      </c>
      <c r="G75" s="4" t="inlineStr">
        <is>
          <t>Fit 49; below the fit floor, not scored</t>
        </is>
      </c>
      <c r="H75" s="4" t="inlineStr">
        <is>
          <t>Medium</t>
        </is>
      </c>
      <c r="I75" s="4" t="inlineStr">
        <is>
          <t>Not run</t>
        </is>
      </c>
      <c r="J75" s="5" t="inlineStr"/>
      <c r="K75" s="5" t="inlineStr"/>
      <c r="L75" s="6" t="inlineStr"/>
      <c r="M75" s="5" t="inlineStr"/>
    </row>
    <row r="76">
      <c r="A76" s="4" t="inlineStr">
        <is>
          <t>SC-035</t>
        </is>
      </c>
      <c r="B76" s="4" t="inlineStr">
        <is>
          <t>Account Scoring</t>
        </is>
      </c>
      <c r="C76" s="4" t="inlineStr">
        <is>
          <t>Fit and tiers</t>
        </is>
      </c>
      <c r="D76" s="4" t="inlineStr">
        <is>
          <t>TS7</t>
        </is>
      </c>
      <c r="E76" s="4" t="inlineStr">
        <is>
          <t>Larkspur Refining: No revenue, 3,500 employees: size from headcount (above target)</t>
        </is>
      </c>
      <c r="F76" s="4" t="inlineStr">
        <is>
          <t>In the TS7 run, open Larkspur Refining.</t>
        </is>
      </c>
      <c r="G76" s="4" t="inlineStr">
        <is>
          <t>Fit 100; score 50;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76" s="4" t="inlineStr">
        <is>
          <t>Medium</t>
        </is>
      </c>
      <c r="I76" s="4" t="inlineStr">
        <is>
          <t>Not run</t>
        </is>
      </c>
      <c r="J76" s="5" t="inlineStr"/>
      <c r="K76" s="5" t="inlineStr"/>
      <c r="L76" s="6" t="inlineStr"/>
      <c r="M76" s="5" t="inlineStr"/>
    </row>
    <row r="77">
      <c r="A77" s="4" t="inlineStr">
        <is>
          <t>SC-036</t>
        </is>
      </c>
      <c r="B77" s="4" t="inlineStr">
        <is>
          <t>Account Scoring</t>
        </is>
      </c>
      <c r="C77" s="4" t="inlineStr">
        <is>
          <t>Fit and tiers</t>
        </is>
      </c>
      <c r="D77" s="4" t="inlineStr">
        <is>
          <t>TS7</t>
        </is>
      </c>
      <c r="E77" s="4" t="inlineStr">
        <is>
          <t>Moorland Refining: Revenue USD 400m: size in target (70% of 20 = 14)</t>
        </is>
      </c>
      <c r="F77" s="4" t="inlineStr">
        <is>
          <t>In the TS7 run, open Moorland Refining.</t>
        </is>
      </c>
      <c r="G77" s="4" t="inlineStr">
        <is>
          <t>Fit 94; score 47;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77" s="4" t="inlineStr">
        <is>
          <t>Medium</t>
        </is>
      </c>
      <c r="I77" s="4" t="inlineStr">
        <is>
          <t>Not run</t>
        </is>
      </c>
      <c r="J77" s="5" t="inlineStr"/>
      <c r="K77" s="5" t="inlineStr"/>
      <c r="L77" s="6" t="inlineStr"/>
      <c r="M77" s="5" t="inlineStr"/>
    </row>
    <row r="78">
      <c r="A78" s="4" t="inlineStr">
        <is>
          <t>SC-037</t>
        </is>
      </c>
      <c r="B78" s="4" t="inlineStr">
        <is>
          <t>Account Scoring</t>
        </is>
      </c>
      <c r="C78" s="4" t="inlineStr">
        <is>
          <t>Fit and tiers</t>
        </is>
      </c>
      <c r="D78" s="4" t="inlineStr">
        <is>
          <t>TS7</t>
        </is>
      </c>
      <c r="E78" s="4" t="inlineStr">
        <is>
          <t>Newhaven Petrochem: Petrochemicals: adjacent vertical (50% of 30 = 15); petrochemical site partly suits (10)</t>
        </is>
      </c>
      <c r="F78" s="4" t="inlineStr">
        <is>
          <t>In the TS7 run, open Newhaven Petrochem.</t>
        </is>
      </c>
      <c r="G78" s="4" t="inlineStr">
        <is>
          <t>Fit 75; score 37.5;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78" s="4" t="inlineStr">
        <is>
          <t>Medium</t>
        </is>
      </c>
      <c r="I78" s="4" t="inlineStr">
        <is>
          <t>Not run</t>
        </is>
      </c>
      <c r="J78" s="5" t="inlineStr"/>
      <c r="K78" s="5" t="inlineStr"/>
      <c r="L78" s="6" t="inlineStr"/>
      <c r="M78" s="5" t="inlineStr"/>
    </row>
    <row r="79">
      <c r="A79" s="4" t="inlineStr">
        <is>
          <t>SC-038</t>
        </is>
      </c>
      <c r="B79" s="4" t="inlineStr">
        <is>
          <t>Account Scoring</t>
        </is>
      </c>
      <c r="C79" s="4" t="inlineStr">
        <is>
          <t>Fit and tiers</t>
        </is>
      </c>
      <c r="D79" s="4" t="inlineStr">
        <is>
          <t>TS7</t>
        </is>
      </c>
      <c r="E79" s="4" t="inlineStr">
        <is>
          <t>Oakridge Water: Industry and site not in the lookup: vertical Other (0), flagged for a person to classify</t>
        </is>
      </c>
      <c r="F79" s="4" t="inlineStr">
        <is>
          <t>In the TS7 run, open Oakridge Water.</t>
        </is>
      </c>
      <c r="G79" s="4" t="inlineStr">
        <is>
          <t>Fit 60; score 30; tier B; confidence medium; micro-segment Inquiry; action "Call to follow up on the inquiry", runner-up "Route the inquiry to the sales owner"; to Alex Tan by Email; For Review: Below deal size (due: same day)</t>
        </is>
      </c>
      <c r="H79" s="4" t="inlineStr">
        <is>
          <t>Medium</t>
        </is>
      </c>
      <c r="I79" s="4" t="inlineStr">
        <is>
          <t>Not run</t>
        </is>
      </c>
      <c r="J79" s="5" t="inlineStr"/>
      <c r="K79" s="5" t="inlineStr"/>
      <c r="L79" s="6" t="inlineStr"/>
      <c r="M79" s="5" t="inlineStr"/>
    </row>
    <row r="80">
      <c r="A80" s="4" t="inlineStr">
        <is>
          <t>SC-039</t>
        </is>
      </c>
      <c r="B80" s="4" t="inlineStr">
        <is>
          <t>Account Scoring</t>
        </is>
      </c>
      <c r="C80" s="4" t="inlineStr">
        <is>
          <t>Fit and tiers</t>
        </is>
      </c>
      <c r="D80" s="4" t="inlineStr">
        <is>
          <t>TS7</t>
        </is>
      </c>
      <c r="E80" s="4" t="inlineStr">
        <is>
          <t>Pebblebrook Refining: Same as Moorland but not an existing customer: relationship drops from 15 to 6</t>
        </is>
      </c>
      <c r="F80" s="4" t="inlineStr">
        <is>
          <t>In the TS7 run, open Pebblebrook Refining.</t>
        </is>
      </c>
      <c r="G80" s="4" t="inlineStr">
        <is>
          <t>Fit 85; score 42.5;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80" s="4" t="inlineStr">
        <is>
          <t>Medium</t>
        </is>
      </c>
      <c r="I80" s="4" t="inlineStr">
        <is>
          <t>Not run</t>
        </is>
      </c>
      <c r="J80" s="5" t="inlineStr"/>
      <c r="K80" s="5" t="inlineStr"/>
      <c r="L80" s="6" t="inlineStr"/>
      <c r="M80" s="5" t="inlineStr"/>
    </row>
    <row r="81">
      <c r="A81" s="4" t="inlineStr">
        <is>
          <t>SC-040</t>
        </is>
      </c>
      <c r="B81" s="4" t="inlineStr">
        <is>
          <t>Account Scoring</t>
        </is>
      </c>
      <c r="C81" s="4" t="inlineStr">
        <is>
          <t>Fit and tiers</t>
        </is>
      </c>
      <c r="D81" s="4" t="inlineStr">
        <is>
          <t>TS7</t>
        </is>
      </c>
      <c r="E81" s="4" t="inlineStr">
        <is>
          <t>Quarry Hill Engineering: EPC contractor: account type 60% of 10 = 6</t>
        </is>
      </c>
      <c r="F81" s="4" t="inlineStr">
        <is>
          <t>In the TS7 run, open Quarry Hill Engineering.</t>
        </is>
      </c>
      <c r="G81" s="4" t="inlineStr">
        <is>
          <t>Fit 96; score 48;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81" s="4" t="inlineStr">
        <is>
          <t>Medium</t>
        </is>
      </c>
      <c r="I81" s="4" t="inlineStr">
        <is>
          <t>Not run</t>
        </is>
      </c>
      <c r="J81" s="5" t="inlineStr"/>
      <c r="K81" s="5" t="inlineStr"/>
      <c r="L81" s="6" t="inlineStr"/>
      <c r="M81" s="5" t="inlineStr"/>
    </row>
    <row r="82">
      <c r="A82" s="4" t="inlineStr">
        <is>
          <t>SC-041</t>
        </is>
      </c>
      <c r="B82" s="4" t="inlineStr">
        <is>
          <t>Account Scoring</t>
        </is>
      </c>
      <c r="C82" s="4" t="inlineStr">
        <is>
          <t>Fit and tiers</t>
        </is>
      </c>
      <c r="D82" s="4" t="inlineStr">
        <is>
          <t>TS7</t>
        </is>
      </c>
      <c r="E82" s="4" t="inlineStr">
        <is>
          <t>Rosewood Refining: Primary contact opted out, secondary contact kept: contact coverage drops to 40% (2), confidence low. The inquiry is from the opted-out person, so it should not be used</t>
        </is>
      </c>
      <c r="F82" s="4" t="inlineStr">
        <is>
          <t>In the TS7 run, open Rosewood Refining.</t>
        </is>
      </c>
      <c r="G82" s="4" t="inlineStr">
        <is>
          <t>SHOULD: Primary contact opted out, secondary contact kept: contact coverage drops to 40% (2), confidence low. The inquiry is from the opted-out person, so it should not be used. TODAY (known gap): The opted-out person's inquiry still counts: tier A with no recommendation, and the account never reaches For Review. Engine result: Fit 97; score 48.5; tier A; confidence low; micro-segment No recommendation</t>
        </is>
      </c>
      <c r="H82" s="4" t="inlineStr">
        <is>
          <t>High</t>
        </is>
      </c>
      <c r="I82" s="4" t="inlineStr">
        <is>
          <t>Not run</t>
        </is>
      </c>
      <c r="J82" s="5" t="inlineStr"/>
      <c r="K82" s="5" t="inlineStr"/>
      <c r="L82" s="6" t="inlineStr"/>
      <c r="M82" s="5" t="inlineStr"/>
    </row>
    <row r="83">
      <c r="A83" s="4" t="inlineStr">
        <is>
          <t>SC-042</t>
        </is>
      </c>
      <c r="B83" s="4" t="inlineStr">
        <is>
          <t>Account Scoring</t>
        </is>
      </c>
      <c r="C83" s="4" t="inlineStr">
        <is>
          <t>Fit and tiers</t>
        </is>
      </c>
      <c r="D83" s="4" t="inlineStr">
        <is>
          <t>TS7</t>
        </is>
      </c>
      <c r="E83" s="4" t="inlineStr">
        <is>
          <t>Stonegate Refining: Current pilot product already installed: knocked out (excluded) whatever its other signals</t>
        </is>
      </c>
      <c r="F83" s="4" t="inlineStr">
        <is>
          <t>In the TS7 run, open Stonegate Refining.</t>
        </is>
      </c>
      <c r="G83" s="4" t="inlineStr">
        <is>
          <t>Excluded: Pilot product already installed at the site</t>
        </is>
      </c>
      <c r="H83" s="4" t="inlineStr">
        <is>
          <t>Medium</t>
        </is>
      </c>
      <c r="I83" s="4" t="inlineStr">
        <is>
          <t>Not run</t>
        </is>
      </c>
      <c r="J83" s="5" t="inlineStr"/>
      <c r="K83" s="5" t="inlineStr"/>
      <c r="L83" s="6" t="inlineStr"/>
      <c r="M83" s="5" t="inlineStr"/>
    </row>
    <row r="84">
      <c r="A84" s="4" t="inlineStr">
        <is>
          <t>SC-043</t>
        </is>
      </c>
      <c r="B84" s="4" t="inlineStr">
        <is>
          <t>Account Scoring</t>
        </is>
      </c>
      <c r="C84" s="4" t="inlineStr">
        <is>
          <t>Fit and tiers</t>
        </is>
      </c>
      <c r="D84" s="4" t="inlineStr">
        <is>
          <t>TS7</t>
        </is>
      </c>
      <c r="E84" s="4" t="inlineStr">
        <is>
          <t>Tidewater Refining: Outside the pilot region (Australia): excluded in Prospecting</t>
        </is>
      </c>
      <c r="F84" s="4" t="inlineStr">
        <is>
          <t>In the TS7 run, open Tidewater Refining.</t>
        </is>
      </c>
      <c r="G84" s="4" t="inlineStr">
        <is>
          <t>Excluded: Outside the pilot region (Australia)</t>
        </is>
      </c>
      <c r="H84" s="4" t="inlineStr">
        <is>
          <t>Medium</t>
        </is>
      </c>
      <c r="I84" s="4" t="inlineStr">
        <is>
          <t>Not run</t>
        </is>
      </c>
      <c r="J84" s="5" t="inlineStr"/>
      <c r="K84" s="5" t="inlineStr"/>
      <c r="L84" s="6" t="inlineStr"/>
      <c r="M84" s="5" t="inlineStr"/>
    </row>
    <row r="85">
      <c r="A85" s="4" t="inlineStr">
        <is>
          <t>SC-044</t>
        </is>
      </c>
      <c r="B85" s="4" t="inlineStr">
        <is>
          <t>Account Scoring</t>
        </is>
      </c>
      <c r="C85" s="4" t="inlineStr">
        <is>
          <t>Signal decay</t>
        </is>
      </c>
      <c r="D85" s="4" t="inlineStr">
        <is>
          <t>TS11 (TS1 files)</t>
        </is>
      </c>
      <c r="E85" s="4" t="inlineStr">
        <is>
          <t>Score TS1 as of 2026-10-20</t>
        </is>
      </c>
      <c r="F85" s="4" t="inlineStr">
        <is>
          <t>Pick list "TS1", Score as of 2026-10-20, upload TS1_End_to_end.xlsx; build Micro-segments with the same date.</t>
        </is>
      </c>
      <c r="G85" s="4" t="inlineStr">
        <is>
          <t>A 4, B 8, C 2, watch list 1, below fit floor 1. Segments: Inquiry 3, Modernisation 3, Project 3, Engagement 4.</t>
        </is>
      </c>
      <c r="H85" s="4" t="inlineStr">
        <is>
          <t>Medium</t>
        </is>
      </c>
      <c r="I85" s="4" t="inlineStr">
        <is>
          <t>Not run</t>
        </is>
      </c>
      <c r="J85" s="5" t="inlineStr"/>
      <c r="K85" s="5" t="inlineStr"/>
      <c r="L85" s="6" t="inlineStr"/>
      <c r="M85" s="5" t="inlineStr"/>
    </row>
    <row r="86">
      <c r="A86" s="4" t="inlineStr">
        <is>
          <t>SC-045</t>
        </is>
      </c>
      <c r="B86" s="4" t="inlineStr">
        <is>
          <t>Account Scoring</t>
        </is>
      </c>
      <c r="C86" s="4" t="inlineStr">
        <is>
          <t>Signal decay</t>
        </is>
      </c>
      <c r="D86" s="4" t="inlineStr">
        <is>
          <t>TS11 (TS1 files)</t>
        </is>
      </c>
      <c r="E86" s="4" t="inlineStr">
        <is>
          <t>Score TS1 as of 2026-11-20</t>
        </is>
      </c>
      <c r="F86" s="4" t="inlineStr">
        <is>
          <t>Pick list "TS1", Score as of 2026-11-20, upload TS1_End_to_end.xlsx; build Micro-segments with the same date.</t>
        </is>
      </c>
      <c r="G86" s="4" t="inlineStr">
        <is>
          <t>A 3, B 8, C 3, watch list 1, below fit floor 1. Segments: Modernisation 3, Inquiry 3, Project 3, Engagement 4.</t>
        </is>
      </c>
      <c r="H86" s="4" t="inlineStr">
        <is>
          <t>Medium</t>
        </is>
      </c>
      <c r="I86" s="4" t="inlineStr">
        <is>
          <t>Not run</t>
        </is>
      </c>
      <c r="J86" s="5" t="inlineStr"/>
      <c r="K86" s="5" t="inlineStr"/>
      <c r="L86" s="6" t="inlineStr"/>
      <c r="M86" s="5" t="inlineStr"/>
    </row>
    <row r="87">
      <c r="A87" s="4" t="inlineStr">
        <is>
          <t>SC-046</t>
        </is>
      </c>
      <c r="B87" s="4" t="inlineStr">
        <is>
          <t>Account Scoring</t>
        </is>
      </c>
      <c r="C87" s="4" t="inlineStr">
        <is>
          <t>Signal decay</t>
        </is>
      </c>
      <c r="D87" s="4" t="inlineStr">
        <is>
          <t>TS11 (TS1 files)</t>
        </is>
      </c>
      <c r="E87" s="4" t="inlineStr">
        <is>
          <t>Score TS1 as of 2026-12-20</t>
        </is>
      </c>
      <c r="F87" s="4" t="inlineStr">
        <is>
          <t>Pick list "TS1", Score as of 2026-12-20, upload TS1_End_to_end.xlsx; build Micro-segments with the same date.</t>
        </is>
      </c>
      <c r="G87" s="4" t="inlineStr">
        <is>
          <t>A 2, B 6, C 5, watch list 2, below fit floor 1. Segments: Modernisation 3, Project 3, Engagement 4.</t>
        </is>
      </c>
      <c r="H87" s="4" t="inlineStr">
        <is>
          <t>Medium</t>
        </is>
      </c>
      <c r="I87" s="4" t="inlineStr">
        <is>
          <t>Not run</t>
        </is>
      </c>
      <c r="J87" s="5" t="inlineStr"/>
      <c r="K87" s="5" t="inlineStr"/>
      <c r="L87" s="6" t="inlineStr"/>
      <c r="M87" s="5" t="inlineStr"/>
    </row>
    <row r="88">
      <c r="A88" s="4" t="inlineStr">
        <is>
          <t>SC-047</t>
        </is>
      </c>
      <c r="B88" s="4" t="inlineStr">
        <is>
          <t>Account Scoring</t>
        </is>
      </c>
      <c r="C88" s="4" t="inlineStr">
        <is>
          <t>Signal decay</t>
        </is>
      </c>
      <c r="D88" s="4" t="inlineStr">
        <is>
          <t>TS11 (TS1 files)</t>
        </is>
      </c>
      <c r="E88" s="4" t="inlineStr">
        <is>
          <t>Score TS1 as of 2027-01-20</t>
        </is>
      </c>
      <c r="F88" s="4" t="inlineStr">
        <is>
          <t>Pick list "TS1", Score as of 2027-01-20, upload TS1_End_to_end.xlsx; build Micro-segments with the same date.</t>
        </is>
      </c>
      <c r="G88" s="4" t="inlineStr">
        <is>
          <t>A 1, B 5, C 5, watch list 4, below fit floor 1. Segments: Modernisation 3, Project 3, Engagement 4.</t>
        </is>
      </c>
      <c r="H88" s="4" t="inlineStr">
        <is>
          <t>Medium</t>
        </is>
      </c>
      <c r="I88" s="4" t="inlineStr">
        <is>
          <t>Not run</t>
        </is>
      </c>
      <c r="J88" s="5" t="inlineStr"/>
      <c r="K88" s="5" t="inlineStr"/>
      <c r="L88" s="6" t="inlineStr"/>
      <c r="M88" s="5" t="inlineStr"/>
    </row>
    <row r="89">
      <c r="A89" s="4" t="inlineStr">
        <is>
          <t>SC-048</t>
        </is>
      </c>
      <c r="B89" s="4" t="inlineStr">
        <is>
          <t>Account Scoring</t>
        </is>
      </c>
      <c r="C89" s="4" t="inlineStr">
        <is>
          <t>Signal decay</t>
        </is>
      </c>
      <c r="D89" s="4" t="inlineStr">
        <is>
          <t>TS11 (TS1 files)</t>
        </is>
      </c>
      <c r="E89" s="4" t="inlineStr">
        <is>
          <t>Score TS1 as of 2027-04-20</t>
        </is>
      </c>
      <c r="F89" s="4" t="inlineStr">
        <is>
          <t>Pick list "TS1", Score as of 2027-04-20, upload TS1_End_to_end.xlsx; build Micro-segments with the same date.</t>
        </is>
      </c>
      <c r="G89" s="4" t="inlineStr">
        <is>
          <t>A 1, B 3, C 2, watch list 9, below fit floor 1. Segments: Modernisation 3, Project 3.</t>
        </is>
      </c>
      <c r="H89" s="4" t="inlineStr">
        <is>
          <t>Medium</t>
        </is>
      </c>
      <c r="I89" s="4" t="inlineStr">
        <is>
          <t>Not run</t>
        </is>
      </c>
      <c r="J89" s="5" t="inlineStr"/>
      <c r="K89" s="5" t="inlineStr"/>
      <c r="L89" s="6" t="inlineStr"/>
      <c r="M89" s="5" t="inlineStr"/>
    </row>
    <row r="90">
      <c r="A90" s="4" t="inlineStr">
        <is>
          <t>SC-049</t>
        </is>
      </c>
      <c r="B90" s="4" t="inlineStr">
        <is>
          <t>Account Scoring</t>
        </is>
      </c>
      <c r="C90" s="4" t="inlineStr">
        <is>
          <t>Volume</t>
        </is>
      </c>
      <c r="D90" s="4" t="inlineStr">
        <is>
          <t>TS12</t>
        </is>
      </c>
      <c r="E90" s="4" t="inlineStr">
        <is>
          <t>Volume list scores</t>
        </is>
      </c>
      <c r="F90" s="4" t="inlineStr">
        <is>
          <t>Run TS12_Realistic_mixed_list.xlsx through Prospecting, Scoring (as of 2026-10-20) and Micro-segments.</t>
        </is>
      </c>
      <c r="G90" s="4" t="inlineStr">
        <is>
          <t>Tiers: A 7, B 11, C 16, Watch list 14, Below fit floor 9, Excluded 3.</t>
        </is>
      </c>
      <c r="H90" s="4" t="inlineStr">
        <is>
          <t>Medium</t>
        </is>
      </c>
      <c r="I90" s="4" t="inlineStr">
        <is>
          <t>Not run</t>
        </is>
      </c>
      <c r="J90" s="5" t="inlineStr"/>
      <c r="K90" s="5" t="inlineStr"/>
      <c r="L90" s="6" t="inlineStr"/>
      <c r="M90" s="5" t="inlineStr"/>
    </row>
    <row r="91">
      <c r="A91" s="4" t="inlineStr">
        <is>
          <t>NB-001</t>
        </is>
      </c>
      <c r="B91" s="4" t="inlineStr">
        <is>
          <t>Micro-segments &amp; NBA</t>
        </is>
      </c>
      <c r="C91" s="4" t="inlineStr">
        <is>
          <t>Whole set</t>
        </is>
      </c>
      <c r="D91" s="4" t="inlineStr">
        <is>
          <t>TS6</t>
        </is>
      </c>
      <c r="E91" s="4" t="inlineStr">
        <is>
          <t>Micro-segment boundaries: run the set end to end</t>
        </is>
      </c>
      <c r="F91" s="4" t="inlineStr">
        <is>
          <t>Prospecting: upload TS6_Segment_boundaries.xlsx, save as "TS6". Scoring: list "TS6", Score as of 2026-10-20, same file. Build Micro-segments from that scoring.</t>
        </is>
      </c>
      <c r="G91" s="4" t="inlineStr">
        <is>
          <t>Tiers: A 7, B 4, C 3, Watch list 1. Segments: Inquiry 3, Service renewal 4, Leadership 3. 4 item(s) in For Review, 10 going ahead.</t>
        </is>
      </c>
      <c r="H91" s="4" t="inlineStr">
        <is>
          <t>High</t>
        </is>
      </c>
      <c r="I91" s="4" t="inlineStr">
        <is>
          <t>Not run</t>
        </is>
      </c>
      <c r="J91" s="5" t="inlineStr"/>
      <c r="K91" s="5" t="inlineStr"/>
      <c r="L91" s="6" t="inlineStr"/>
      <c r="M91" s="5" t="inlineStr"/>
    </row>
    <row r="92">
      <c r="A92" s="4" t="inlineStr">
        <is>
          <t>NB-002</t>
        </is>
      </c>
      <c r="B92" s="4" t="inlineStr">
        <is>
          <t>Micro-segments &amp; NBA</t>
        </is>
      </c>
      <c r="C92" s="4" t="inlineStr">
        <is>
          <t>Segment rules</t>
        </is>
      </c>
      <c r="D92" s="4" t="inlineStr">
        <is>
          <t>TS6</t>
        </is>
      </c>
      <c r="E92" s="4" t="inlineStr">
        <is>
          <t>Harbourline Refining: Inquiry segment with exactly 3 accounts (the minimum): a second person also has a signal; the recommendation goes to the person with the strongest</t>
        </is>
      </c>
      <c r="F92" s="4" t="inlineStr">
        <is>
          <t>In the TS6 run, open Harbourline Refining.</t>
        </is>
      </c>
      <c r="G92" s="4" t="inlineStr">
        <is>
          <t>Fit 91; score 59.2; tier A; confidence high; micro-segment Inquiry; action "Call to follow up on the inquiry", runner-up "Route the inquiry to the sales owner"; to Nora Lim by Email; For Review: None: goes ahead on its own (may be drawn for a spot-check)</t>
        </is>
      </c>
      <c r="H92" s="4" t="inlineStr">
        <is>
          <t>Medium</t>
        </is>
      </c>
      <c r="I92" s="4" t="inlineStr">
        <is>
          <t>Not run</t>
        </is>
      </c>
      <c r="J92" s="5" t="inlineStr"/>
      <c r="K92" s="5" t="inlineStr"/>
      <c r="L92" s="6" t="inlineStr"/>
      <c r="M92" s="5" t="inlineStr"/>
    </row>
    <row r="93">
      <c r="A93" s="4" t="inlineStr">
        <is>
          <t>NB-003</t>
        </is>
      </c>
      <c r="B93" s="4" t="inlineStr">
        <is>
          <t>Micro-segments &amp; NBA</t>
        </is>
      </c>
      <c r="C93" s="4" t="inlineStr">
        <is>
          <t>Segment rules</t>
        </is>
      </c>
      <c r="D93" s="4" t="inlineStr">
        <is>
          <t>TS6</t>
        </is>
      </c>
      <c r="E93" s="4" t="inlineStr">
        <is>
          <t>Saltmarsh Refining: Inquiry segment with exactly 3 accounts (the minimum)</t>
        </is>
      </c>
      <c r="F93" s="4" t="inlineStr">
        <is>
          <t>In the TS6 run, open Saltmarsh Refining.</t>
        </is>
      </c>
      <c r="G93" s="4" t="inlineStr">
        <is>
          <t>Fit 91; score 45.5; tier A; confidence medium; micro-segment Inquiry; action "Call to follow up on the inquiry", runner-up "Route the inquiry to the sales owner"; to Nora Lim by Email; For Review: None: goes ahead on its own (may be drawn for a spot-check)</t>
        </is>
      </c>
      <c r="H93" s="4" t="inlineStr">
        <is>
          <t>Medium</t>
        </is>
      </c>
      <c r="I93" s="4" t="inlineStr">
        <is>
          <t>Not run</t>
        </is>
      </c>
      <c r="J93" s="5" t="inlineStr"/>
      <c r="K93" s="5" t="inlineStr"/>
      <c r="L93" s="6" t="inlineStr"/>
      <c r="M93" s="5" t="inlineStr"/>
    </row>
    <row r="94">
      <c r="A94" s="4" t="inlineStr">
        <is>
          <t>NB-004</t>
        </is>
      </c>
      <c r="B94" s="4" t="inlineStr">
        <is>
          <t>Micro-segments &amp; NBA</t>
        </is>
      </c>
      <c r="C94" s="4" t="inlineStr">
        <is>
          <t>Segment rules</t>
        </is>
      </c>
      <c r="D94" s="4" t="inlineStr">
        <is>
          <t>TS6</t>
        </is>
      </c>
      <c r="E94" s="4" t="inlineStr">
        <is>
          <t>Ridgeway Refining: Inquiry segment with exactly 3 accounts (the minimum)</t>
        </is>
      </c>
      <c r="F94" s="4" t="inlineStr">
        <is>
          <t>In the TS6 run, open Ridgeway Refining.</t>
        </is>
      </c>
      <c r="G94" s="4" t="inlineStr">
        <is>
          <t>Fit 91; score 45.5; tier A; confidence medium; micro-segment Inquiry; action "Call to follow up on the inquiry", runner-up "Route the inquiry to the sales owner"; to Nora Lim by Email; For Review: None: goes ahead on its own (may be drawn for a spot-check)</t>
        </is>
      </c>
      <c r="H94" s="4" t="inlineStr">
        <is>
          <t>Medium</t>
        </is>
      </c>
      <c r="I94" s="4" t="inlineStr">
        <is>
          <t>Not run</t>
        </is>
      </c>
      <c r="J94" s="5" t="inlineStr"/>
      <c r="K94" s="5" t="inlineStr"/>
      <c r="L94" s="6" t="inlineStr"/>
      <c r="M94" s="5" t="inlineStr"/>
    </row>
    <row r="95">
      <c r="A95" s="4" t="inlineStr">
        <is>
          <t>NB-005</t>
        </is>
      </c>
      <c r="B95" s="4" t="inlineStr">
        <is>
          <t>Micro-segments &amp; NBA</t>
        </is>
      </c>
      <c r="C95" s="4" t="inlineStr">
        <is>
          <t>Segment rules</t>
        </is>
      </c>
      <c r="D95" s="4" t="inlineStr">
        <is>
          <t>TS6</t>
        </is>
      </c>
      <c r="E95" s="4" t="inlineStr">
        <is>
          <t>Copperleaf Petrochem: Leadership segment with 3 accounts</t>
        </is>
      </c>
      <c r="F95" s="4" t="inlineStr">
        <is>
          <t>In the TS6 run, open Copperleaf Petrochem.</t>
        </is>
      </c>
      <c r="G95" s="4" t="inlineStr">
        <is>
          <t>Fit 66; score 14.9; tier C; confidence medium; micro-segment Leadership; action "Introduce Client to the new leader", runner-up "Share a peer case study from their sector"; to Alex Tan by Email; For Review: None: goes ahead on its own (may be drawn for a spot-check)</t>
        </is>
      </c>
      <c r="H95" s="4" t="inlineStr">
        <is>
          <t>Medium</t>
        </is>
      </c>
      <c r="I95" s="4" t="inlineStr">
        <is>
          <t>Not run</t>
        </is>
      </c>
      <c r="J95" s="5" t="inlineStr"/>
      <c r="K95" s="5" t="inlineStr"/>
      <c r="L95" s="6" t="inlineStr"/>
      <c r="M95" s="5" t="inlineStr"/>
    </row>
    <row r="96">
      <c r="A96" s="4" t="inlineStr">
        <is>
          <t>NB-006</t>
        </is>
      </c>
      <c r="B96" s="4" t="inlineStr">
        <is>
          <t>Micro-segments &amp; NBA</t>
        </is>
      </c>
      <c r="C96" s="4" t="inlineStr">
        <is>
          <t>Segment rules</t>
        </is>
      </c>
      <c r="D96" s="4" t="inlineStr">
        <is>
          <t>TS6</t>
        </is>
      </c>
      <c r="E96" s="4" t="inlineStr">
        <is>
          <t>Westbay Olefins: Leadership segment with 3 accounts</t>
        </is>
      </c>
      <c r="F96" s="4" t="inlineStr">
        <is>
          <t>In the TS6 run, open Westbay Olefins.</t>
        </is>
      </c>
      <c r="G96" s="4" t="inlineStr">
        <is>
          <t>Fit 66; score 14.9; tier C; confidence medium; micro-segment Leadership; action "Introduce Client to the new leader", runner-up "Share a peer case study from their sector"; to Alex Tan by Email; For Review: None: goes ahead on its own (may be drawn for a spot-check)</t>
        </is>
      </c>
      <c r="H96" s="4" t="inlineStr">
        <is>
          <t>Medium</t>
        </is>
      </c>
      <c r="I96" s="4" t="inlineStr">
        <is>
          <t>Not run</t>
        </is>
      </c>
      <c r="J96" s="5" t="inlineStr"/>
      <c r="K96" s="5" t="inlineStr"/>
      <c r="L96" s="6" t="inlineStr"/>
      <c r="M96" s="5" t="inlineStr"/>
    </row>
    <row r="97">
      <c r="A97" s="4" t="inlineStr">
        <is>
          <t>NB-007</t>
        </is>
      </c>
      <c r="B97" s="4" t="inlineStr">
        <is>
          <t>Micro-segments &amp; NBA</t>
        </is>
      </c>
      <c r="C97" s="4" t="inlineStr">
        <is>
          <t>Segment rules</t>
        </is>
      </c>
      <c r="D97" s="4" t="inlineStr">
        <is>
          <t>TS6</t>
        </is>
      </c>
      <c r="E97" s="4" t="inlineStr">
        <is>
          <t>Silverstream Aromatics: Leadership segment with 3 accounts</t>
        </is>
      </c>
      <c r="F97" s="4" t="inlineStr">
        <is>
          <t>In the TS6 run, open Silverstream Aromatics.</t>
        </is>
      </c>
      <c r="G97" s="4" t="inlineStr">
        <is>
          <t>Fit 66; score 14.9; tier C; confidence medium; micro-segment Leadership; action "Introduce Client to the new leader", runner-up "Share a peer case study from their sector"; to Alex Tan by Email; For Review: None: goes ahead on its own (may be drawn for a spot-check)</t>
        </is>
      </c>
      <c r="H97" s="4" t="inlineStr">
        <is>
          <t>Medium</t>
        </is>
      </c>
      <c r="I97" s="4" t="inlineStr">
        <is>
          <t>Not run</t>
        </is>
      </c>
      <c r="J97" s="5" t="inlineStr"/>
      <c r="K97" s="5" t="inlineStr"/>
      <c r="L97" s="6" t="inlineStr"/>
      <c r="M97" s="5" t="inlineStr"/>
    </row>
    <row r="98">
      <c r="A98" s="4" t="inlineStr">
        <is>
          <t>NB-008</t>
        </is>
      </c>
      <c r="B98" s="4" t="inlineStr">
        <is>
          <t>Micro-segments &amp; NBA</t>
        </is>
      </c>
      <c r="C98" s="4" t="inlineStr">
        <is>
          <t>Segment rules</t>
        </is>
      </c>
      <c r="D98" s="4" t="inlineStr">
        <is>
          <t>TS6</t>
        </is>
      </c>
      <c r="E98" s="4" t="inlineStr">
        <is>
          <t>Bluestone Refining: Service renewal segment with 3 accounts</t>
        </is>
      </c>
      <c r="F98" s="4" t="inlineStr">
        <is>
          <t>In the TS6 run, open Bluestone Refining.</t>
        </is>
      </c>
      <c r="G98" s="4" t="inlineStr">
        <is>
          <t>Fit 100; score 30; tier B; confidence medium; micro-segment Service renewal; action "Offer a renewal review", runner-up "Route to the service owner"; to Alex Tan by Email; For Review: None: goes ahead on its own (may be drawn for a spot-check)</t>
        </is>
      </c>
      <c r="H98" s="4" t="inlineStr">
        <is>
          <t>Medium</t>
        </is>
      </c>
      <c r="I98" s="4" t="inlineStr">
        <is>
          <t>Not run</t>
        </is>
      </c>
      <c r="J98" s="5" t="inlineStr"/>
      <c r="K98" s="5" t="inlineStr"/>
      <c r="L98" s="6" t="inlineStr"/>
      <c r="M98" s="5" t="inlineStr"/>
    </row>
    <row r="99">
      <c r="A99" s="4" t="inlineStr">
        <is>
          <t>NB-009</t>
        </is>
      </c>
      <c r="B99" s="4" t="inlineStr">
        <is>
          <t>Micro-segments &amp; NBA</t>
        </is>
      </c>
      <c r="C99" s="4" t="inlineStr">
        <is>
          <t>Segment rules</t>
        </is>
      </c>
      <c r="D99" s="4" t="inlineStr">
        <is>
          <t>TS6</t>
        </is>
      </c>
      <c r="E99" s="4" t="inlineStr">
        <is>
          <t>Greenfield Refinery: Service renewal segment with 3 accounts</t>
        </is>
      </c>
      <c r="F99" s="4" t="inlineStr">
        <is>
          <t>In the TS6 run, open Greenfield Refinery.</t>
        </is>
      </c>
      <c r="G99" s="4" t="inlineStr">
        <is>
          <t>Fit 100; score 30; tier B; confidence medium; micro-segment Service renewal; action "Offer a renewal review", runner-up "Route to the service owner"; to Alex Tan by Email; For Review: None: goes ahead on its own (may be drawn for a spot-check)</t>
        </is>
      </c>
      <c r="H99" s="4" t="inlineStr">
        <is>
          <t>Medium</t>
        </is>
      </c>
      <c r="I99" s="4" t="inlineStr">
        <is>
          <t>Not run</t>
        </is>
      </c>
      <c r="J99" s="5" t="inlineStr"/>
      <c r="K99" s="5" t="inlineStr"/>
      <c r="L99" s="6" t="inlineStr"/>
      <c r="M99" s="5" t="inlineStr"/>
    </row>
    <row r="100">
      <c r="A100" s="4" t="inlineStr">
        <is>
          <t>NB-010</t>
        </is>
      </c>
      <c r="B100" s="4" t="inlineStr">
        <is>
          <t>Micro-segments &amp; NBA</t>
        </is>
      </c>
      <c r="C100" s="4" t="inlineStr">
        <is>
          <t>Segment rules</t>
        </is>
      </c>
      <c r="D100" s="4" t="inlineStr">
        <is>
          <t>TS6</t>
        </is>
      </c>
      <c r="E100" s="4" t="inlineStr">
        <is>
          <t>Northpoint Refining: Service renewal segment with 3 accounts</t>
        </is>
      </c>
      <c r="F100" s="4" t="inlineStr">
        <is>
          <t>In the TS6 run, open Northpoint Refining.</t>
        </is>
      </c>
      <c r="G100" s="4" t="inlineStr">
        <is>
          <t>Fit 100; score 30; tier B; confidence medium; micro-segment Service renewal; action "Offer a renewal review", runner-up "Route to the service owner"; to Alex Tan by Email; For Review: None: goes ahead on its own (may be drawn for a spot-check)</t>
        </is>
      </c>
      <c r="H100" s="4" t="inlineStr">
        <is>
          <t>Medium</t>
        </is>
      </c>
      <c r="I100" s="4" t="inlineStr">
        <is>
          <t>Not run</t>
        </is>
      </c>
      <c r="J100" s="5" t="inlineStr"/>
      <c r="K100" s="5" t="inlineStr"/>
      <c r="L100" s="6" t="inlineStr"/>
      <c r="M100" s="5" t="inlineStr"/>
    </row>
    <row r="101">
      <c r="A101" s="4" t="inlineStr">
        <is>
          <t>NB-011</t>
        </is>
      </c>
      <c r="B101" s="4" t="inlineStr">
        <is>
          <t>Micro-segments &amp; NBA</t>
        </is>
      </c>
      <c r="C101" s="4" t="inlineStr">
        <is>
          <t>Segment rules</t>
        </is>
      </c>
      <c r="D101" s="4" t="inlineStr">
        <is>
          <t>TS6</t>
        </is>
      </c>
      <c r="E101" s="4" t="inlineStr">
        <is>
          <t>Ironbark Refining: Strongest signal is Modernisation, but only 2 accounts have it: falls back to Service renewal, which formed</t>
        </is>
      </c>
      <c r="F101" s="4" t="inlineStr">
        <is>
          <t>In the TS6 run, open Ironbark Refining.</t>
        </is>
      </c>
      <c r="G101" s="4" t="inlineStr">
        <is>
          <t>Fit 100; score 65; tier A; confidence high; micro-segment Service renewal (joined on its next signal); action "Offer a renewal review", runner-up "Propose a migration-path discussion"; to Alex Tan by Email; For Review: None: goes ahead on its own (may be drawn for a spot-check)</t>
        </is>
      </c>
      <c r="H101" s="4" t="inlineStr">
        <is>
          <t>Medium</t>
        </is>
      </c>
      <c r="I101" s="4" t="inlineStr">
        <is>
          <t>Not run</t>
        </is>
      </c>
      <c r="J101" s="5" t="inlineStr"/>
      <c r="K101" s="5" t="inlineStr"/>
      <c r="L101" s="6" t="inlineStr"/>
      <c r="M101" s="5" t="inlineStr"/>
    </row>
    <row r="102">
      <c r="A102" s="4" t="inlineStr">
        <is>
          <t>NB-012</t>
        </is>
      </c>
      <c r="B102" s="4" t="inlineStr">
        <is>
          <t>Micro-segments &amp; NBA</t>
        </is>
      </c>
      <c r="C102" s="4" t="inlineStr">
        <is>
          <t>Segment rules</t>
        </is>
      </c>
      <c r="D102" s="4" t="inlineStr">
        <is>
          <t>TS6</t>
        </is>
      </c>
      <c r="E102" s="4" t="inlineStr">
        <is>
          <t>Pinecrest Refining: Modernisation only, and only 2 accounts have it: no segment, exception in For Review</t>
        </is>
      </c>
      <c r="F102" s="4" t="inlineStr">
        <is>
          <t>In the TS6 run, open Pinecrest Refining.</t>
        </is>
      </c>
      <c r="G102" s="4" t="inlineStr">
        <is>
          <t>Fit 91; score 45.5; tier A; confidence medium; micro-segment No segment: exception in For Review; action "Propose a migration-path discussion", runner-up "Offer a site assessment"; to Alex Tan by Email; For Review: Segment too small (due: 2 working days)</t>
        </is>
      </c>
      <c r="H102" s="4" t="inlineStr">
        <is>
          <t>Medium</t>
        </is>
      </c>
      <c r="I102" s="4" t="inlineStr">
        <is>
          <t>Not run</t>
        </is>
      </c>
      <c r="J102" s="5" t="inlineStr"/>
      <c r="K102" s="5" t="inlineStr"/>
      <c r="L102" s="6" t="inlineStr"/>
      <c r="M102" s="5" t="inlineStr"/>
    </row>
    <row r="103">
      <c r="A103" s="4" t="inlineStr">
        <is>
          <t>NB-013</t>
        </is>
      </c>
      <c r="B103" s="4" t="inlineStr">
        <is>
          <t>Micro-segments &amp; NBA</t>
        </is>
      </c>
      <c r="C103" s="4" t="inlineStr">
        <is>
          <t>Segment rules</t>
        </is>
      </c>
      <c r="D103" s="4" t="inlineStr">
        <is>
          <t>TS6</t>
        </is>
      </c>
      <c r="E103" s="4" t="inlineStr">
        <is>
          <t>Thornfield LNG: Strongest signal is Project (2 accounts only); next is Engagement, which never formed: exception</t>
        </is>
      </c>
      <c r="F103" s="4" t="inlineStr">
        <is>
          <t>In the TS6 run, open Thornfield LNG.</t>
        </is>
      </c>
      <c r="G103" s="4" t="inlineStr">
        <is>
          <t>Fit 66; score 36.3; tier A; confidence high; micro-segment No segment: exception in For Review; action "Share a comparable case study and offer a technical session", runner-up "Offer a reference-site visit"; to Alex Tan by Email; For Review: Segment too small (due: 2 working days)</t>
        </is>
      </c>
      <c r="H103" s="4" t="inlineStr">
        <is>
          <t>Medium</t>
        </is>
      </c>
      <c r="I103" s="4" t="inlineStr">
        <is>
          <t>Not run</t>
        </is>
      </c>
      <c r="J103" s="5" t="inlineStr"/>
      <c r="K103" s="5" t="inlineStr"/>
      <c r="L103" s="6" t="inlineStr"/>
      <c r="M103" s="5" t="inlineStr"/>
    </row>
    <row r="104">
      <c r="A104" s="4" t="inlineStr">
        <is>
          <t>NB-014</t>
        </is>
      </c>
      <c r="B104" s="4" t="inlineStr">
        <is>
          <t>Micro-segments &amp; NBA</t>
        </is>
      </c>
      <c r="C104" s="4" t="inlineStr">
        <is>
          <t>Segment rules</t>
        </is>
      </c>
      <c r="D104" s="4" t="inlineStr">
        <is>
          <t>TS6</t>
        </is>
      </c>
      <c r="E104" s="4" t="inlineStr">
        <is>
          <t>Crescent Gas Processing: Strongest signal is Project (2 accounts only); next is Engagement, which never formed: exception</t>
        </is>
      </c>
      <c r="F104" s="4" t="inlineStr">
        <is>
          <t>In the TS6 run, open Crescent Gas Processing.</t>
        </is>
      </c>
      <c r="G104" s="4" t="inlineStr">
        <is>
          <t>Fit 66; score 36.3; tier A; confidence high; micro-segment No segment: exception in For Review; action "Share a comparable case study and offer a technical session", runner-up "Offer a reference-site visit"; to Alex Tan by Email; For Review: Segment too small (due: 2 working days)</t>
        </is>
      </c>
      <c r="H104" s="4" t="inlineStr">
        <is>
          <t>Medium</t>
        </is>
      </c>
      <c r="I104" s="4" t="inlineStr">
        <is>
          <t>Not run</t>
        </is>
      </c>
      <c r="J104" s="5" t="inlineStr"/>
      <c r="K104" s="5" t="inlineStr"/>
      <c r="L104" s="6" t="inlineStr"/>
      <c r="M104" s="5" t="inlineStr"/>
    </row>
    <row r="105">
      <c r="A105" s="4" t="inlineStr">
        <is>
          <t>NB-015</t>
        </is>
      </c>
      <c r="B105" s="4" t="inlineStr">
        <is>
          <t>Micro-segments &amp; NBA</t>
        </is>
      </c>
      <c r="C105" s="4" t="inlineStr">
        <is>
          <t>Segment rules</t>
        </is>
      </c>
      <c r="D105" s="4" t="inlineStr">
        <is>
          <t>TS6</t>
        </is>
      </c>
      <c r="E105" s="4" t="inlineStr">
        <is>
          <t>Seabright Refining: Engagement is its strongest signal, but only 1 account has Engagement first: exception. Engagement appears on 3 accounts in total, but a segment never forms only on second-best signals</t>
        </is>
      </c>
      <c r="F105" s="4" t="inlineStr">
        <is>
          <t>In the TS6 run, open Seabright Refining.</t>
        </is>
      </c>
      <c r="G105" s="4" t="inlineStr">
        <is>
          <t>Fit 91; score 27.3; tier B; confidence medium; micro-segment No segment: exception in For Review; action "Follow up on the topic they engaged with", runner-up "Invite to a related session"; to Alex Tan by Email; For Review: Segment too small (due: 2 working days)</t>
        </is>
      </c>
      <c r="H105" s="4" t="inlineStr">
        <is>
          <t>Medium</t>
        </is>
      </c>
      <c r="I105" s="4" t="inlineStr">
        <is>
          <t>Not run</t>
        </is>
      </c>
      <c r="J105" s="5" t="inlineStr"/>
      <c r="K105" s="5" t="inlineStr"/>
      <c r="L105" s="6" t="inlineStr"/>
      <c r="M105" s="5" t="inlineStr"/>
    </row>
    <row r="106">
      <c r="A106" s="4" t="inlineStr">
        <is>
          <t>NB-016</t>
        </is>
      </c>
      <c r="B106" s="4" t="inlineStr">
        <is>
          <t>Micro-segments &amp; NBA</t>
        </is>
      </c>
      <c r="C106" s="4" t="inlineStr">
        <is>
          <t>Segment rules</t>
        </is>
      </c>
      <c r="D106" s="4" t="inlineStr">
        <is>
          <t>TS6</t>
        </is>
      </c>
      <c r="E106" s="4" t="inlineStr">
        <is>
          <t>Quietwater Refining: No signal: watch list, not in Micro-segments</t>
        </is>
      </c>
      <c r="F106" s="4" t="inlineStr">
        <is>
          <t>In the TS6 run, open Quietwater Refining.</t>
        </is>
      </c>
      <c r="G106" s="4" t="inlineStr">
        <is>
          <t>Fit 91; score 0; tier Watch list; confidence medium</t>
        </is>
      </c>
      <c r="H106" s="4" t="inlineStr">
        <is>
          <t>Medium</t>
        </is>
      </c>
      <c r="I106" s="4" t="inlineStr">
        <is>
          <t>Not run</t>
        </is>
      </c>
      <c r="J106" s="5" t="inlineStr"/>
      <c r="K106" s="5" t="inlineStr"/>
      <c r="L106" s="6" t="inlineStr"/>
      <c r="M106" s="5" t="inlineStr"/>
    </row>
    <row r="107">
      <c r="A107" s="4" t="inlineStr">
        <is>
          <t>NB-017</t>
        </is>
      </c>
      <c r="B107" s="4" t="inlineStr">
        <is>
          <t>Micro-segments &amp; NBA</t>
        </is>
      </c>
      <c r="C107" s="4" t="inlineStr">
        <is>
          <t>Whole set</t>
        </is>
      </c>
      <c r="D107" s="4" t="inlineStr">
        <is>
          <t>TS8</t>
        </is>
      </c>
      <c r="E107" s="4" t="inlineStr">
        <is>
          <t>Contactability and channel: run the set end to end</t>
        </is>
      </c>
      <c r="F107" s="4" t="inlineStr">
        <is>
          <t>Prospecting: upload TS8_Contactability_and_channel.xlsx, save as "TS8". Scoring: list "TS8", Score as of 2026-10-20, same file. Build Micro-segments from that scoring.</t>
        </is>
      </c>
      <c r="G107" s="4" t="inlineStr">
        <is>
          <t>Tiers: B 10. Segments: Engagement 9. 4 item(s) in For Review, 5 going ahead.</t>
        </is>
      </c>
      <c r="H107" s="4" t="inlineStr">
        <is>
          <t>High</t>
        </is>
      </c>
      <c r="I107" s="4" t="inlineStr">
        <is>
          <t>Not run</t>
        </is>
      </c>
      <c r="J107" s="5" t="inlineStr"/>
      <c r="K107" s="5" t="inlineStr"/>
      <c r="L107" s="6" t="inlineStr"/>
      <c r="M107" s="5" t="inlineStr"/>
    </row>
    <row r="108">
      <c r="A108" s="4" t="inlineStr">
        <is>
          <t>NB-018</t>
        </is>
      </c>
      <c r="B108" s="4" t="inlineStr">
        <is>
          <t>Micro-segments &amp; NBA</t>
        </is>
      </c>
      <c r="C108" s="4" t="inlineStr">
        <is>
          <t>Channel and contactability</t>
        </is>
      </c>
      <c r="D108" s="4" t="inlineStr">
        <is>
          <t>TS8</t>
        </is>
      </c>
      <c r="E108" s="4" t="inlineStr">
        <is>
          <t>Amberley Refining: Verified email and LinkedIn: Email, LinkedIn is the fallback</t>
        </is>
      </c>
      <c r="F108" s="4" t="inlineStr">
        <is>
          <t>In the TS8 run, open Amberley Refining.</t>
        </is>
      </c>
      <c r="G108" s="4" t="inlineStr">
        <is>
          <t>Fit 100; score 30; tier B; confidence medium; micro-segment Engagement; action "Follow up on the topic they engaged with", runner-up "Invite to a related session"; to Alex Tan by Email; For Review: None: goes ahead on its own (may be drawn for a spot-check)</t>
        </is>
      </c>
      <c r="H108" s="4" t="inlineStr">
        <is>
          <t>Medium</t>
        </is>
      </c>
      <c r="I108" s="4" t="inlineStr">
        <is>
          <t>Not run</t>
        </is>
      </c>
      <c r="J108" s="5" t="inlineStr"/>
      <c r="K108" s="5" t="inlineStr"/>
      <c r="L108" s="6" t="inlineStr"/>
      <c r="M108" s="5" t="inlineStr"/>
    </row>
    <row r="109">
      <c r="A109" s="4" t="inlineStr">
        <is>
          <t>NB-019</t>
        </is>
      </c>
      <c r="B109" s="4" t="inlineStr">
        <is>
          <t>Micro-segments &amp; NBA</t>
        </is>
      </c>
      <c r="C109" s="4" t="inlineStr">
        <is>
          <t>Channel and contactability</t>
        </is>
      </c>
      <c r="D109" s="4" t="inlineStr">
        <is>
          <t>TS8</t>
        </is>
      </c>
      <c r="E109" s="4" t="inlineStr">
        <is>
          <t>Brightwater Refining: Verified email, no LinkedIn: Email</t>
        </is>
      </c>
      <c r="F109" s="4" t="inlineStr">
        <is>
          <t>In the TS8 run, open Brightwater Refining.</t>
        </is>
      </c>
      <c r="G109" s="4" t="inlineStr">
        <is>
          <t>Fit 100; score 30; tier B; confidence medium; micro-segment Engagement; action "Follow up on the topic they engaged with", runner-up "Invite to a related session"; to Ben Ho by Email; For Review: None: goes ahead on its own (may be drawn for a spot-check)</t>
        </is>
      </c>
      <c r="H109" s="4" t="inlineStr">
        <is>
          <t>Medium</t>
        </is>
      </c>
      <c r="I109" s="4" t="inlineStr">
        <is>
          <t>Not run</t>
        </is>
      </c>
      <c r="J109" s="5" t="inlineStr"/>
      <c r="K109" s="5" t="inlineStr"/>
      <c r="L109" s="6" t="inlineStr"/>
      <c r="M109" s="5" t="inlineStr"/>
    </row>
    <row r="110">
      <c r="A110" s="4" t="inlineStr">
        <is>
          <t>NB-020</t>
        </is>
      </c>
      <c r="B110" s="4" t="inlineStr">
        <is>
          <t>Micro-segments &amp; NBA</t>
        </is>
      </c>
      <c r="C110" s="4" t="inlineStr">
        <is>
          <t>Channel and contactability</t>
        </is>
      </c>
      <c r="D110" s="4" t="inlineStr">
        <is>
          <t>TS8</t>
        </is>
      </c>
      <c r="E110" s="4" t="inlineStr">
        <is>
          <t>Cedarbrook Refining: Email not verified, LinkedIn given: LinkedIn connection note</t>
        </is>
      </c>
      <c r="F110" s="4" t="inlineStr">
        <is>
          <t>In the TS8 run, open Cedarbrook Refining.</t>
        </is>
      </c>
      <c r="G110" s="4" t="inlineStr">
        <is>
          <t>Fit 100; score 30; tier B; confidence medium; micro-segment Engagement; action "Follow up on the topic they engaged with", runner-up "Invite to a related session"; to Chen Yu by LinkedIn; For Review: None: goes ahead on its own (may be drawn for a spot-check)</t>
        </is>
      </c>
      <c r="H110" s="4" t="inlineStr">
        <is>
          <t>Medium</t>
        </is>
      </c>
      <c r="I110" s="4" t="inlineStr">
        <is>
          <t>Not run</t>
        </is>
      </c>
      <c r="J110" s="5" t="inlineStr"/>
      <c r="K110" s="5" t="inlineStr"/>
      <c r="L110" s="6" t="inlineStr"/>
      <c r="M110" s="5" t="inlineStr"/>
    </row>
    <row r="111">
      <c r="A111" s="4" t="inlineStr">
        <is>
          <t>NB-021</t>
        </is>
      </c>
      <c r="B111" s="4" t="inlineStr">
        <is>
          <t>Micro-segments &amp; NBA</t>
        </is>
      </c>
      <c r="C111" s="4" t="inlineStr">
        <is>
          <t>Channel and contactability</t>
        </is>
      </c>
      <c r="D111" s="4" t="inlineStr">
        <is>
          <t>TS8</t>
        </is>
      </c>
      <c r="E111" s="4" t="inlineStr">
        <is>
          <t>Dunmore Refining: No email, LinkedIn only: LinkedIn; the signal names the person by LinkedIn URL</t>
        </is>
      </c>
      <c r="F111" s="4" t="inlineStr">
        <is>
          <t>In the TS8 run, open Dunmore Refining.</t>
        </is>
      </c>
      <c r="G111" s="4" t="inlineStr">
        <is>
          <t>Fit 100; score 30; tier B; confidence medium; micro-segment Engagement; action "Follow up on the topic they engaged with", runner-up "Invite to a related session"; to Dara Ng by LinkedIn; For Review: None: goes ahead on its own (may be drawn for a spot-check)</t>
        </is>
      </c>
      <c r="H111" s="4" t="inlineStr">
        <is>
          <t>Medium</t>
        </is>
      </c>
      <c r="I111" s="4" t="inlineStr">
        <is>
          <t>Not run</t>
        </is>
      </c>
      <c r="J111" s="5" t="inlineStr"/>
      <c r="K111" s="5" t="inlineStr"/>
      <c r="L111" s="6" t="inlineStr"/>
      <c r="M111" s="5" t="inlineStr"/>
    </row>
    <row r="112">
      <c r="A112" s="4" t="inlineStr">
        <is>
          <t>NB-022</t>
        </is>
      </c>
      <c r="B112" s="4" t="inlineStr">
        <is>
          <t>Micro-segments &amp; NBA</t>
        </is>
      </c>
      <c r="C112" s="4" t="inlineStr">
        <is>
          <t>Channel and contactability</t>
        </is>
      </c>
      <c r="D112" s="4" t="inlineStr">
        <is>
          <t>TS8</t>
        </is>
      </c>
      <c r="E112" s="4" t="inlineStr">
        <is>
          <t>Elmstead Refining: Email not verified and no LinkedIn: nobody can be reached, goes to a person</t>
        </is>
      </c>
      <c r="F112" s="4" t="inlineStr">
        <is>
          <t>In the TS8 run, open Elmstead Refining.</t>
        </is>
      </c>
      <c r="G112" s="4" t="inlineStr">
        <is>
          <t>Fit 100; score 30; tier B; confidence medium; micro-segment Engagement; action "Follow up on the topic they engaged with", runner-up "Invite to a related session"; to Eli Sim by nobody (no way to reach them); For Review: Can't reach them (due: 1 working day)</t>
        </is>
      </c>
      <c r="H112" s="4" t="inlineStr">
        <is>
          <t>Medium</t>
        </is>
      </c>
      <c r="I112" s="4" t="inlineStr">
        <is>
          <t>Not run</t>
        </is>
      </c>
      <c r="J112" s="5" t="inlineStr"/>
      <c r="K112" s="5" t="inlineStr"/>
      <c r="L112" s="6" t="inlineStr"/>
      <c r="M112" s="5" t="inlineStr"/>
    </row>
    <row r="113">
      <c r="A113" s="4" t="inlineStr">
        <is>
          <t>NB-023</t>
        </is>
      </c>
      <c r="B113" s="4" t="inlineStr">
        <is>
          <t>Micro-segments &amp; NBA</t>
        </is>
      </c>
      <c r="C113" s="4" t="inlineStr">
        <is>
          <t>Channel and contactability</t>
        </is>
      </c>
      <c r="D113" s="4" t="inlineStr">
        <is>
          <t>TS8</t>
        </is>
      </c>
      <c r="E113" s="4" t="inlineStr">
        <is>
          <t>Foxley Refining: No consent basis: not contactable, goes to a person</t>
        </is>
      </c>
      <c r="F113" s="4" t="inlineStr">
        <is>
          <t>In the TS8 run, open Foxley Refining.</t>
        </is>
      </c>
      <c r="G113" s="4" t="inlineStr">
        <is>
          <t>Fit 100; score 30; tier B; confidence medium; micro-segment Engagement; action "Follow up on the topic they engaged with", runner-up "Invite to a related session"; to Fay Lau by nobody (no way to reach them); For Review: Can't reach them (due: 1 working day)</t>
        </is>
      </c>
      <c r="H113" s="4" t="inlineStr">
        <is>
          <t>Medium</t>
        </is>
      </c>
      <c r="I113" s="4" t="inlineStr">
        <is>
          <t>Not run</t>
        </is>
      </c>
      <c r="J113" s="5" t="inlineStr"/>
      <c r="K113" s="5" t="inlineStr"/>
      <c r="L113" s="6" t="inlineStr"/>
      <c r="M113" s="5" t="inlineStr"/>
    </row>
    <row r="114">
      <c r="A114" s="4" t="inlineStr">
        <is>
          <t>NB-024</t>
        </is>
      </c>
      <c r="B114" s="4" t="inlineStr">
        <is>
          <t>Micro-segments &amp; NBA</t>
        </is>
      </c>
      <c r="C114" s="4" t="inlineStr">
        <is>
          <t>Channel and contactability</t>
        </is>
      </c>
      <c r="D114" s="4" t="inlineStr">
        <is>
          <t>TS8</t>
        </is>
      </c>
      <c r="E114" s="4" t="inlineStr">
        <is>
          <t>Garnet Refining: Consent basis "purchased list" is not recognised: goes to a person</t>
        </is>
      </c>
      <c r="F114" s="4" t="inlineStr">
        <is>
          <t>In the TS8 run, open Garnet Refining.</t>
        </is>
      </c>
      <c r="G114" s="4" t="inlineStr">
        <is>
          <t>Fit 100; score 30; tier B; confidence medium; micro-segment Engagement; action "Follow up on the topic they engaged with", runner-up "Invite to a related session"; to Gus Teo by nobody (no way to reach them); For Review: Can't reach them (due: 1 working day)</t>
        </is>
      </c>
      <c r="H114" s="4" t="inlineStr">
        <is>
          <t>Medium</t>
        </is>
      </c>
      <c r="I114" s="4" t="inlineStr">
        <is>
          <t>Not run</t>
        </is>
      </c>
      <c r="J114" s="5" t="inlineStr"/>
      <c r="K114" s="5" t="inlineStr"/>
      <c r="L114" s="6" t="inlineStr"/>
      <c r="M114" s="5" t="inlineStr"/>
    </row>
    <row r="115">
      <c r="A115" s="4" t="inlineStr">
        <is>
          <t>NB-025</t>
        </is>
      </c>
      <c r="B115" s="4" t="inlineStr">
        <is>
          <t>Micro-segments &amp; NBA</t>
        </is>
      </c>
      <c r="C115" s="4" t="inlineStr">
        <is>
          <t>Channel and contactability</t>
        </is>
      </c>
      <c r="D115" s="4" t="inlineStr">
        <is>
          <t>TS8</t>
        </is>
      </c>
      <c r="E115" s="4" t="inlineStr">
        <is>
          <t>Hollis Refining: Opt-out left blank: Prospecting marks the contact not contactable. Check that NBA does not draft to them either</t>
        </is>
      </c>
      <c r="F115" s="4" t="inlineStr">
        <is>
          <t>In the TS8 run, open Hollis Refining.</t>
        </is>
      </c>
      <c r="G115" s="4" t="inlineStr">
        <is>
          <t>SHOULD: Opt-out left blank: Prospecting marks the contact not contactable. Check that NBA does not draft to them either. TODAY (known gap): NBA drafts an email to this person although Prospecting marks them not contactable (opt-out not confirmed). Engine result: Fit 100; score 30; tier B; confidence medium; micro-segment Engagement; action "Follow up on the topic they engaged with", runner-up "Invite to a related session"; to Hana Rao by Email; For Review: None: goes ahead on its own (may be drawn for a spot-check)</t>
        </is>
      </c>
      <c r="H115" s="4" t="inlineStr">
        <is>
          <t>High</t>
        </is>
      </c>
      <c r="I115" s="4" t="inlineStr">
        <is>
          <t>Not run</t>
        </is>
      </c>
      <c r="J115" s="5" t="inlineStr"/>
      <c r="K115" s="5" t="inlineStr"/>
      <c r="L115" s="6" t="inlineStr"/>
      <c r="M115" s="5" t="inlineStr"/>
    </row>
    <row r="116">
      <c r="A116" s="4" t="inlineStr">
        <is>
          <t>NB-026</t>
        </is>
      </c>
      <c r="B116" s="4" t="inlineStr">
        <is>
          <t>Micro-segments &amp; NBA</t>
        </is>
      </c>
      <c r="C116" s="4" t="inlineStr">
        <is>
          <t>Channel and contactability</t>
        </is>
      </c>
      <c r="D116" s="4" t="inlineStr">
        <is>
          <t>TS8</t>
        </is>
      </c>
      <c r="E116" s="4" t="inlineStr">
        <is>
          <t>Inglewood Refining: Primary contact opted out and has the only signal; secondary has none. Check the opted-out signal does not lift the score or produce a recommendation</t>
        </is>
      </c>
      <c r="F116" s="4" t="inlineStr">
        <is>
          <t>In the TS8 run, open Inglewood Refining.</t>
        </is>
      </c>
      <c r="G116" s="4" t="inlineStr">
        <is>
          <t>SHOULD: Primary contact opted out and has the only signal; secondary has none. Check the opted-out signal does not lift the score or produce a recommendation. TODAY (known gap): The opted-out person's signal still counts: the account scores B, gets no recommendation and never reaches For Review, so it drops out without a trace. Engine result: Fit 97; score 29.1; tier B; confidence low; micro-segment No recommendation</t>
        </is>
      </c>
      <c r="H116" s="4" t="inlineStr">
        <is>
          <t>High</t>
        </is>
      </c>
      <c r="I116" s="4" t="inlineStr">
        <is>
          <t>Not run</t>
        </is>
      </c>
      <c r="J116" s="5" t="inlineStr"/>
      <c r="K116" s="5" t="inlineStr"/>
      <c r="L116" s="6" t="inlineStr"/>
      <c r="M116" s="5" t="inlineStr"/>
    </row>
    <row r="117">
      <c r="A117" s="4" t="inlineStr">
        <is>
          <t>NB-027</t>
        </is>
      </c>
      <c r="B117" s="4" t="inlineStr">
        <is>
          <t>Micro-segments &amp; NBA</t>
        </is>
      </c>
      <c r="C117" s="4" t="inlineStr">
        <is>
          <t>Channel and contactability</t>
        </is>
      </c>
      <c r="D117" s="4" t="inlineStr">
        <is>
          <t>TS8</t>
        </is>
      </c>
      <c r="E117" s="4" t="inlineStr">
        <is>
          <t>Jasper Refining: Primary opted out; secondary has the signal: recommendation goes to the secondary contact, low confidence</t>
        </is>
      </c>
      <c r="F117" s="4" t="inlineStr">
        <is>
          <t>In the TS8 run, open Jasper Refining.</t>
        </is>
      </c>
      <c r="G117" s="4" t="inlineStr">
        <is>
          <t>Fit 97; score 29.1; tier B; confidence low; micro-segment Engagement; action "Follow up on the topic they engaged with", runner-up "Invite to a related session"; to Kim Ang by Email; For Review: Low confidence (due: 2 working days)</t>
        </is>
      </c>
      <c r="H117" s="4" t="inlineStr">
        <is>
          <t>Medium</t>
        </is>
      </c>
      <c r="I117" s="4" t="inlineStr">
        <is>
          <t>Not run</t>
        </is>
      </c>
      <c r="J117" s="5" t="inlineStr"/>
      <c r="K117" s="5" t="inlineStr"/>
      <c r="L117" s="6" t="inlineStr"/>
      <c r="M117" s="5" t="inlineStr"/>
    </row>
    <row r="118">
      <c r="A118" s="4" t="inlineStr">
        <is>
          <t>NB-028</t>
        </is>
      </c>
      <c r="B118" s="4" t="inlineStr">
        <is>
          <t>Micro-segments &amp; NBA</t>
        </is>
      </c>
      <c r="C118" s="4" t="inlineStr">
        <is>
          <t>Segments</t>
        </is>
      </c>
      <c r="D118" s="4" t="inlineStr">
        <is>
          <t>TS1</t>
        </is>
      </c>
      <c r="E118" s="4" t="inlineStr">
        <is>
          <t>Segments from the TS1 scoring</t>
        </is>
      </c>
      <c r="F118" s="4" t="inlineStr">
        <is>
          <t>Build Micro-segments from the TS1 scoring, scoring date 2026-10-20.</t>
        </is>
      </c>
      <c r="G118" s="4" t="inlineStr">
        <is>
          <t>Inquiry 3, Modernisation 3, Project 3, Engagement 4; Chao Phraya Refining is an exception.</t>
        </is>
      </c>
      <c r="H118" s="4" t="inlineStr">
        <is>
          <t>High</t>
        </is>
      </c>
      <c r="I118" s="4" t="inlineStr">
        <is>
          <t>Not run</t>
        </is>
      </c>
      <c r="J118" s="5" t="inlineStr"/>
      <c r="K118" s="5" t="inlineStr"/>
      <c r="L118" s="6" t="inlineStr"/>
      <c r="M118" s="5" t="inlineStr"/>
    </row>
    <row r="119">
      <c r="A119" s="4" t="inlineStr">
        <is>
          <t>NB-029</t>
        </is>
      </c>
      <c r="B119" s="4" t="inlineStr">
        <is>
          <t>Micro-segments &amp; NBA</t>
        </is>
      </c>
      <c r="C119" s="4" t="inlineStr">
        <is>
          <t>Segments</t>
        </is>
      </c>
      <c r="D119" s="4" t="inlineStr">
        <is>
          <t>TS1</t>
        </is>
      </c>
      <c r="E119" s="4" t="inlineStr">
        <is>
          <t>Fallback shows the runner-up from the strongest signal</t>
        </is>
      </c>
      <c r="F119" s="4" t="inlineStr">
        <is>
          <t>Open Sumatra Petrochemicals.</t>
        </is>
      </c>
      <c r="G119" s="4" t="inlineStr">
        <is>
          <t>It sits in Engagement; runner-up is "Offer a renewal review", with the reason that its strongest signal had too few accounts.</t>
        </is>
      </c>
      <c r="H119" s="4" t="inlineStr">
        <is>
          <t>Medium</t>
        </is>
      </c>
      <c r="I119" s="4" t="inlineStr">
        <is>
          <t>Not run</t>
        </is>
      </c>
      <c r="J119" s="5" t="inlineStr"/>
      <c r="K119" s="5" t="inlineStr"/>
      <c r="L119" s="6" t="inlineStr"/>
      <c r="M119" s="5" t="inlineStr"/>
    </row>
    <row r="120">
      <c r="A120" s="4" t="inlineStr">
        <is>
          <t>NB-030</t>
        </is>
      </c>
      <c r="B120" s="4" t="inlineStr">
        <is>
          <t>Micro-segments &amp; NBA</t>
        </is>
      </c>
      <c r="C120" s="4" t="inlineStr">
        <is>
          <t>Draft</t>
        </is>
      </c>
      <c r="D120" s="4" t="inlineStr">
        <is>
          <t>TS1</t>
        </is>
      </c>
      <c r="E120" s="4" t="inlineStr">
        <is>
          <t>Draft quotes the signal and has one proof point</t>
        </is>
      </c>
      <c r="F120" s="4" t="inlineStr">
        <is>
          <t>Open the draft for Northgate Refining.</t>
        </is>
      </c>
      <c r="G120" s="4" t="inlineStr">
        <is>
          <t>Subject of at most 6 words; body under 120 words; opens on their inquiry; one cited proof point; one question to finish.</t>
        </is>
      </c>
      <c r="H120" s="4" t="inlineStr">
        <is>
          <t>Medium</t>
        </is>
      </c>
      <c r="I120" s="4" t="inlineStr">
        <is>
          <t>Not run</t>
        </is>
      </c>
      <c r="J120" s="5" t="inlineStr"/>
      <c r="K120" s="5" t="inlineStr"/>
      <c r="L120" s="6" t="inlineStr"/>
      <c r="M120" s="5" t="inlineStr"/>
    </row>
    <row r="121">
      <c r="A121" s="4" t="inlineStr">
        <is>
          <t>NB-031</t>
        </is>
      </c>
      <c r="B121" s="4" t="inlineStr">
        <is>
          <t>Micro-segments &amp; NBA</t>
        </is>
      </c>
      <c r="C121" s="4" t="inlineStr">
        <is>
          <t>Draft</t>
        </is>
      </c>
      <c r="D121" s="4" t="inlineStr">
        <is>
          <t>TS1</t>
        </is>
      </c>
      <c r="E121" s="4" t="inlineStr">
        <is>
          <t>Wrong contact alternative</t>
        </is>
      </c>
      <c r="F121" s="4" t="inlineStr">
        <is>
          <t>On Northgate Refining choose another contact.</t>
        </is>
      </c>
      <c r="G121" s="4" t="inlineStr">
        <is>
          <t>The draft switches to the other person and their own evidence.</t>
        </is>
      </c>
      <c r="H121" s="4" t="inlineStr">
        <is>
          <t>Medium</t>
        </is>
      </c>
      <c r="I121" s="4" t="inlineStr">
        <is>
          <t>Not run</t>
        </is>
      </c>
      <c r="J121" s="5" t="inlineStr"/>
      <c r="K121" s="5" t="inlineStr"/>
      <c r="L121" s="6" t="inlineStr"/>
      <c r="M121" s="5" t="inlineStr"/>
    </row>
    <row r="122">
      <c r="A122" s="4" t="inlineStr">
        <is>
          <t>NB-032</t>
        </is>
      </c>
      <c r="B122" s="4" t="inlineStr">
        <is>
          <t>Micro-segments &amp; NBA</t>
        </is>
      </c>
      <c r="C122" s="4" t="inlineStr">
        <is>
          <t>Upload route (optional)</t>
        </is>
      </c>
      <c r="D122" s="4" t="inlineStr">
        <is>
          <t>TS4</t>
        </is>
      </c>
      <c r="E122" s="4" t="inlineStr">
        <is>
          <t>Micro-segments straight from a file</t>
        </is>
      </c>
      <c r="F122" s="4" t="inlineStr">
        <is>
          <t>Only if lists scored outside the POC are in scope: in Micro-segments &amp; NBA choose "Upload a CSV…", date 2026-10-20, upload TS4.</t>
        </is>
      </c>
      <c r="G122" s="4" t="inlineStr">
        <is>
          <t>Inquiry 4, Modernisation 3; 2 rows rejected; Johor Aromatics, Rayong Olefins and Cilacap Refining are exceptions.</t>
        </is>
      </c>
      <c r="H122" s="4" t="inlineStr">
        <is>
          <t>Low</t>
        </is>
      </c>
      <c r="I122" s="4" t="inlineStr">
        <is>
          <t>Not run</t>
        </is>
      </c>
      <c r="J122" s="5" t="inlineStr"/>
      <c r="K122" s="5" t="inlineStr"/>
      <c r="L122" s="6" t="inlineStr"/>
      <c r="M122" s="5" t="inlineStr"/>
    </row>
    <row r="123">
      <c r="A123" s="4" t="inlineStr">
        <is>
          <t>NB-033</t>
        </is>
      </c>
      <c r="B123" s="4" t="inlineStr">
        <is>
          <t>Micro-segments &amp; NBA</t>
        </is>
      </c>
      <c r="C123" s="4" t="inlineStr">
        <is>
          <t>Volume</t>
        </is>
      </c>
      <c r="D123" s="4" t="inlineStr">
        <is>
          <t>TS12</t>
        </is>
      </c>
      <c r="E123" s="4" t="inlineStr">
        <is>
          <t>Volume list segments</t>
        </is>
      </c>
      <c r="F123" s="4" t="inlineStr">
        <is>
          <t>Run TS12_Realistic_mixed_list.xlsx through Prospecting, Scoring (as of 2026-10-20) and Micro-segments.</t>
        </is>
      </c>
      <c r="G123" s="4" t="inlineStr">
        <is>
          <t>Segments: Engagement 9, Modernisation 8, Inquiry 7, Project 3, Service renewal 3, Leadership 3; 0 exceptions.</t>
        </is>
      </c>
      <c r="H123" s="4" t="inlineStr">
        <is>
          <t>Medium</t>
        </is>
      </c>
      <c r="I123" s="4" t="inlineStr">
        <is>
          <t>Not run</t>
        </is>
      </c>
      <c r="J123" s="5" t="inlineStr"/>
      <c r="K123" s="5" t="inlineStr"/>
      <c r="L123" s="6" t="inlineStr"/>
      <c r="M123" s="5" t="inlineStr"/>
    </row>
    <row r="124">
      <c r="A124" s="4" t="inlineStr">
        <is>
          <t>RV-001</t>
        </is>
      </c>
      <c r="B124" s="4" t="inlineStr">
        <is>
          <t>For Review</t>
        </is>
      </c>
      <c r="C124" s="4" t="inlineStr">
        <is>
          <t>Whole set</t>
        </is>
      </c>
      <c r="D124" s="4" t="inlineStr">
        <is>
          <t>TS9</t>
        </is>
      </c>
      <c r="E124" s="4" t="inlineStr">
        <is>
          <t>For Review routing: run the set end to end</t>
        </is>
      </c>
      <c r="F124" s="4" t="inlineStr">
        <is>
          <t>Prospecting: upload TS9_For_Review_routing.xlsx, save as "TS9". Scoring: list "TS9", Score as of 2026-10-20, same file. Build Micro-segments from that scoring.</t>
        </is>
      </c>
      <c r="G124" s="4" t="inlineStr">
        <is>
          <t>Tiers: A 4, B 8, C 2. Segments: Engagement 10, Inquiry 3. 9 item(s) in For Review, 5 going ahead.</t>
        </is>
      </c>
      <c r="H124" s="4" t="inlineStr">
        <is>
          <t>High</t>
        </is>
      </c>
      <c r="I124" s="4" t="inlineStr">
        <is>
          <t>Not run</t>
        </is>
      </c>
      <c r="J124" s="5" t="inlineStr"/>
      <c r="K124" s="5" t="inlineStr"/>
      <c r="L124" s="6" t="inlineStr"/>
      <c r="M124" s="5" t="inlineStr"/>
    </row>
    <row r="125">
      <c r="A125" s="4" t="inlineStr">
        <is>
          <t>RV-002</t>
        </is>
      </c>
      <c r="B125" s="4" t="inlineStr">
        <is>
          <t>For Review</t>
        </is>
      </c>
      <c r="C125" s="4" t="inlineStr">
        <is>
          <t>Review reasons</t>
        </is>
      </c>
      <c r="D125" s="4" t="inlineStr">
        <is>
          <t>TS9</t>
        </is>
      </c>
      <c r="E125" s="4" t="inlineStr">
        <is>
          <t>Alderbank Refining: Clean item: no reason for a person, goes ahead on its own (may be drawn for a spot-check)</t>
        </is>
      </c>
      <c r="F125" s="4" t="inlineStr">
        <is>
          <t>In the TS9 run, open Alderbank Refining.</t>
        </is>
      </c>
      <c r="G125" s="4" t="inlineStr">
        <is>
          <t>Fit 100; score 30; tier B; confidence medium; micro-segment Engagement; action "Follow up on the topic they engaged with", runner-up "Invite to a related session"; to Alex Tan by Email; For Review: None: goes ahead on its own (may be drawn for a spot-check)</t>
        </is>
      </c>
      <c r="H125" s="4" t="inlineStr">
        <is>
          <t>Medium</t>
        </is>
      </c>
      <c r="I125" s="4" t="inlineStr">
        <is>
          <t>Not run</t>
        </is>
      </c>
      <c r="J125" s="5" t="inlineStr"/>
      <c r="K125" s="5" t="inlineStr"/>
      <c r="L125" s="6" t="inlineStr"/>
      <c r="M125" s="5" t="inlineStr"/>
    </row>
    <row r="126">
      <c r="A126" s="4" t="inlineStr">
        <is>
          <t>RV-003</t>
        </is>
      </c>
      <c r="B126" s="4" t="inlineStr">
        <is>
          <t>For Review</t>
        </is>
      </c>
      <c r="C126" s="4" t="inlineStr">
        <is>
          <t>Review reasons</t>
        </is>
      </c>
      <c r="D126" s="4" t="inlineStr">
        <is>
          <t>TS9</t>
        </is>
      </c>
      <c r="E126" s="4" t="inlineStr">
        <is>
          <t>Beacon Hill Refining: Clean item: no reason for a person, goes ahead on its own (may be drawn for a spot-check)</t>
        </is>
      </c>
      <c r="F126" s="4" t="inlineStr">
        <is>
          <t>In the TS9 run, open Beacon Hill Refining.</t>
        </is>
      </c>
      <c r="G126" s="4" t="inlineStr">
        <is>
          <t>Fit 100; score 30; tier B; confidence medium; micro-segment Engagement; action "Follow up on the topic they engaged with", runner-up "Invite to a related session"; to Alex Tan by Email; For Review: None: goes ahead on its own (may be drawn for a spot-check)</t>
        </is>
      </c>
      <c r="H126" s="4" t="inlineStr">
        <is>
          <t>Medium</t>
        </is>
      </c>
      <c r="I126" s="4" t="inlineStr">
        <is>
          <t>Not run</t>
        </is>
      </c>
      <c r="J126" s="5" t="inlineStr"/>
      <c r="K126" s="5" t="inlineStr"/>
      <c r="L126" s="6" t="inlineStr"/>
      <c r="M126" s="5" t="inlineStr"/>
    </row>
    <row r="127">
      <c r="A127" s="4" t="inlineStr">
        <is>
          <t>RV-004</t>
        </is>
      </c>
      <c r="B127" s="4" t="inlineStr">
        <is>
          <t>For Review</t>
        </is>
      </c>
      <c r="C127" s="4" t="inlineStr">
        <is>
          <t>Review reasons</t>
        </is>
      </c>
      <c r="D127" s="4" t="inlineStr">
        <is>
          <t>TS9</t>
        </is>
      </c>
      <c r="E127" s="4" t="inlineStr">
        <is>
          <t>Cobalt Bay Refining: Clean item: no reason for a person, goes ahead on its own (may be drawn for a spot-check)</t>
        </is>
      </c>
      <c r="F127" s="4" t="inlineStr">
        <is>
          <t>In the TS9 run, open Cobalt Bay Refining.</t>
        </is>
      </c>
      <c r="G127" s="4" t="inlineStr">
        <is>
          <t>Fit 100; score 30; tier B; confidence medium; micro-segment Engagement; action "Follow up on the topic they engaged with", runner-up "Invite to a related session"; to Alex Tan by Email; For Review: None: goes ahead on its own (may be drawn for a spot-check)</t>
        </is>
      </c>
      <c r="H127" s="4" t="inlineStr">
        <is>
          <t>Medium</t>
        </is>
      </c>
      <c r="I127" s="4" t="inlineStr">
        <is>
          <t>Not run</t>
        </is>
      </c>
      <c r="J127" s="5" t="inlineStr"/>
      <c r="K127" s="5" t="inlineStr"/>
      <c r="L127" s="6" t="inlineStr"/>
      <c r="M127" s="5" t="inlineStr"/>
    </row>
    <row r="128">
      <c r="A128" s="4" t="inlineStr">
        <is>
          <t>RV-005</t>
        </is>
      </c>
      <c r="B128" s="4" t="inlineStr">
        <is>
          <t>For Review</t>
        </is>
      </c>
      <c r="C128" s="4" t="inlineStr">
        <is>
          <t>Review reasons</t>
        </is>
      </c>
      <c r="D128" s="4" t="inlineStr">
        <is>
          <t>TS9</t>
        </is>
      </c>
      <c r="E128" s="4" t="inlineStr">
        <is>
          <t>Dovecote Petrochem: Estimated first deal below USD 250k (adjacent vertical, revenue in target, EPC contractor): Below deal size</t>
        </is>
      </c>
      <c r="F128" s="4" t="inlineStr">
        <is>
          <t>In the TS9 run, open Dovecote Petrochem.</t>
        </is>
      </c>
      <c r="G128" s="4" t="inlineStr">
        <is>
          <t>Fit 65; score 19.5; tier C; confidence medium; micro-segment Engagement; action "Follow up on the topic they engaged with", runner-up "Invite to a related session"; to Alex Tan by Email; For Review: Below deal size (due: 2 working days)</t>
        </is>
      </c>
      <c r="H128" s="4" t="inlineStr">
        <is>
          <t>Medium</t>
        </is>
      </c>
      <c r="I128" s="4" t="inlineStr">
        <is>
          <t>Not run</t>
        </is>
      </c>
      <c r="J128" s="5" t="inlineStr"/>
      <c r="K128" s="5" t="inlineStr"/>
      <c r="L128" s="6" t="inlineStr"/>
      <c r="M128" s="5" t="inlineStr"/>
    </row>
    <row r="129">
      <c r="A129" s="4" t="inlineStr">
        <is>
          <t>RV-006</t>
        </is>
      </c>
      <c r="B129" s="4" t="inlineStr">
        <is>
          <t>For Review</t>
        </is>
      </c>
      <c r="C129" s="4" t="inlineStr">
        <is>
          <t>Review reasons</t>
        </is>
      </c>
      <c r="D129" s="4" t="inlineStr">
        <is>
          <t>TS9</t>
        </is>
      </c>
      <c r="E129" s="4" t="inlineStr">
        <is>
          <t>Elderflower Refining: No contact in the primary persona: Low confidence</t>
        </is>
      </c>
      <c r="F129" s="4" t="inlineStr">
        <is>
          <t>In the TS9 run, open Elderflower Refining.</t>
        </is>
      </c>
      <c r="G129" s="4" t="inlineStr">
        <is>
          <t>Fit 97; score 29.1; tier B; confidence low; micro-segment Engagement; action "Follow up on the topic they engaged with", runner-up "Invite to a related session"; to Ella Tan by Email; For Review: Low confidence (due: 2 working days)</t>
        </is>
      </c>
      <c r="H129" s="4" t="inlineStr">
        <is>
          <t>Medium</t>
        </is>
      </c>
      <c r="I129" s="4" t="inlineStr">
        <is>
          <t>Not run</t>
        </is>
      </c>
      <c r="J129" s="5" t="inlineStr"/>
      <c r="K129" s="5" t="inlineStr"/>
      <c r="L129" s="6" t="inlineStr"/>
      <c r="M129" s="5" t="inlineStr"/>
    </row>
    <row r="130">
      <c r="A130" s="4" t="inlineStr">
        <is>
          <t>RV-007</t>
        </is>
      </c>
      <c r="B130" s="4" t="inlineStr">
        <is>
          <t>For Review</t>
        </is>
      </c>
      <c r="C130" s="4" t="inlineStr">
        <is>
          <t>Review reasons</t>
        </is>
      </c>
      <c r="D130" s="4" t="inlineStr">
        <is>
          <t>TS9</t>
        </is>
      </c>
      <c r="E130" s="4" t="inlineStr">
        <is>
          <t>Fernhill Refining: Signal detail mentions an incident: Sensitive content, due the same day</t>
        </is>
      </c>
      <c r="F130" s="4" t="inlineStr">
        <is>
          <t>In the TS9 run, open Fernhill Refining.</t>
        </is>
      </c>
      <c r="G130" s="4" t="inlineStr">
        <is>
          <t>Fit 100; score 30; tier B; confidence medium; micro-segment Engagement; action "Follow up on the topic they engaged with", runner-up "Invite to a related session"; to Alex Tan by Email; For Review: Sensitive content (due: same day)</t>
        </is>
      </c>
      <c r="H130" s="4" t="inlineStr">
        <is>
          <t>Medium</t>
        </is>
      </c>
      <c r="I130" s="4" t="inlineStr">
        <is>
          <t>Not run</t>
        </is>
      </c>
      <c r="J130" s="5" t="inlineStr"/>
      <c r="K130" s="5" t="inlineStr"/>
      <c r="L130" s="6" t="inlineStr"/>
      <c r="M130" s="5" t="inlineStr"/>
    </row>
    <row r="131">
      <c r="A131" s="4" t="inlineStr">
        <is>
          <t>RV-008</t>
        </is>
      </c>
      <c r="B131" s="4" t="inlineStr">
        <is>
          <t>For Review</t>
        </is>
      </c>
      <c r="C131" s="4" t="inlineStr">
        <is>
          <t>Review reasons</t>
        </is>
      </c>
      <c r="D131" s="4" t="inlineStr">
        <is>
          <t>TS9</t>
        </is>
      </c>
      <c r="E131" s="4" t="inlineStr">
        <is>
          <t>Gatewood Refining: Signal detail reads like a product claim with no approved source: Unsupported claim</t>
        </is>
      </c>
      <c r="F131" s="4" t="inlineStr">
        <is>
          <t>In the TS9 run, open Gatewood Refining.</t>
        </is>
      </c>
      <c r="G131" s="4" t="inlineStr">
        <is>
          <t>Fit 100; score 30; tier B; confidence medium; micro-segment Engagement; action "Follow up on the topic they engaged with", runner-up "Invite to a related session"; to Alex Tan by Email; For Review: Unsupported claim (due: 2 working days)</t>
        </is>
      </c>
      <c r="H131" s="4" t="inlineStr">
        <is>
          <t>Medium</t>
        </is>
      </c>
      <c r="I131" s="4" t="inlineStr">
        <is>
          <t>Not run</t>
        </is>
      </c>
      <c r="J131" s="5" t="inlineStr"/>
      <c r="K131" s="5" t="inlineStr"/>
      <c r="L131" s="6" t="inlineStr"/>
      <c r="M131" s="5" t="inlineStr"/>
    </row>
    <row r="132">
      <c r="A132" s="4" t="inlineStr">
        <is>
          <t>RV-009</t>
        </is>
      </c>
      <c r="B132" s="4" t="inlineStr">
        <is>
          <t>For Review</t>
        </is>
      </c>
      <c r="C132" s="4" t="inlineStr">
        <is>
          <t>Review reasons</t>
        </is>
      </c>
      <c r="D132" s="4" t="inlineStr">
        <is>
          <t>TS9</t>
        </is>
      </c>
      <c r="E132" s="4" t="inlineStr">
        <is>
          <t>Hawthorn Refining: Signal detail mentions pricing and has an exclamation mark: Brand or rule check</t>
        </is>
      </c>
      <c r="F132" s="4" t="inlineStr">
        <is>
          <t>In the TS9 run, open Hawthorn Refining.</t>
        </is>
      </c>
      <c r="G132" s="4" t="inlineStr">
        <is>
          <t>Fit 100; score 30; tier B; confidence medium; micro-segment Engagement; action "Follow up on the topic they engaged with", runner-up "Invite to a related session"; to Alex Tan by Email; For Review: Brand or rule check (due: 1 working day)</t>
        </is>
      </c>
      <c r="H132" s="4" t="inlineStr">
        <is>
          <t>Medium</t>
        </is>
      </c>
      <c r="I132" s="4" t="inlineStr">
        <is>
          <t>Not run</t>
        </is>
      </c>
      <c r="J132" s="5" t="inlineStr"/>
      <c r="K132" s="5" t="inlineStr"/>
      <c r="L132" s="6" t="inlineStr"/>
      <c r="M132" s="5" t="inlineStr"/>
    </row>
    <row r="133">
      <c r="A133" s="4" t="inlineStr">
        <is>
          <t>RV-010</t>
        </is>
      </c>
      <c r="B133" s="4" t="inlineStr">
        <is>
          <t>For Review</t>
        </is>
      </c>
      <c r="C133" s="4" t="inlineStr">
        <is>
          <t>Review reasons</t>
        </is>
      </c>
      <c r="D133" s="4" t="inlineStr">
        <is>
          <t>TS9</t>
        </is>
      </c>
      <c r="E133" s="4" t="inlineStr">
        <is>
          <t>Juniper Ridge Refining: Email not verified and no LinkedIn: Can't reach them</t>
        </is>
      </c>
      <c r="F133" s="4" t="inlineStr">
        <is>
          <t>In the TS9 run, open Juniper Ridge Refining.</t>
        </is>
      </c>
      <c r="G133" s="4" t="inlineStr">
        <is>
          <t>Fit 100; score 30; tier B; confidence medium; micro-segment Engagement; action "Follow up on the topic they engaged with", runner-up "Invite to a related session"; to Joe Lam by nobody (no way to reach them); For Review: Can't reach them (due: 1 working day)</t>
        </is>
      </c>
      <c r="H133" s="4" t="inlineStr">
        <is>
          <t>Medium</t>
        </is>
      </c>
      <c r="I133" s="4" t="inlineStr">
        <is>
          <t>Not run</t>
        </is>
      </c>
      <c r="J133" s="5" t="inlineStr"/>
      <c r="K133" s="5" t="inlineStr"/>
      <c r="L133" s="6" t="inlineStr"/>
      <c r="M133" s="5" t="inlineStr"/>
    </row>
    <row r="134">
      <c r="A134" s="4" t="inlineStr">
        <is>
          <t>RV-011</t>
        </is>
      </c>
      <c r="B134" s="4" t="inlineStr">
        <is>
          <t>For Review</t>
        </is>
      </c>
      <c r="C134" s="4" t="inlineStr">
        <is>
          <t>Review reasons</t>
        </is>
      </c>
      <c r="D134" s="4" t="inlineStr">
        <is>
          <t>TS9</t>
        </is>
      </c>
      <c r="E134" s="4" t="inlineStr">
        <is>
          <t>Kestrel Ridge Refining: Only account with a Modernisation signal: Segment too small</t>
        </is>
      </c>
      <c r="F134" s="4" t="inlineStr">
        <is>
          <t>In the TS9 run, open Kestrel Ridge Refining.</t>
        </is>
      </c>
      <c r="G134" s="4" t="inlineStr">
        <is>
          <t>Fit 100; score 50; tier A; confidence medium; micro-segment No segment: exception in For Review; action "Propose a migration-path discussion", runner-up "Offer a site assessment"; to Alex Tan by Email; For Review: Segment too small (due: 2 working days)</t>
        </is>
      </c>
      <c r="H134" s="4" t="inlineStr">
        <is>
          <t>Medium</t>
        </is>
      </c>
      <c r="I134" s="4" t="inlineStr">
        <is>
          <t>Not run</t>
        </is>
      </c>
      <c r="J134" s="5" t="inlineStr"/>
      <c r="K134" s="5" t="inlineStr"/>
      <c r="L134" s="6" t="inlineStr"/>
      <c r="M134" s="5" t="inlineStr"/>
    </row>
    <row r="135">
      <c r="A135" s="4" t="inlineStr">
        <is>
          <t>RV-012</t>
        </is>
      </c>
      <c r="B135" s="4" t="inlineStr">
        <is>
          <t>For Review</t>
        </is>
      </c>
      <c r="C135" s="4" t="inlineStr">
        <is>
          <t>Review reasons</t>
        </is>
      </c>
      <c r="D135" s="4" t="inlineStr">
        <is>
          <t>TS9</t>
        </is>
      </c>
      <c r="E135" s="4" t="inlineStr">
        <is>
          <t>Lowmoor Petrochem: Several reasons at once: below deal size, low confidence and no way to reach them</t>
        </is>
      </c>
      <c r="F135" s="4" t="inlineStr">
        <is>
          <t>In the TS9 run, open Lowmoor Petrochem.</t>
        </is>
      </c>
      <c r="G135" s="4" t="inlineStr">
        <is>
          <t>Fit 62; score 18.6; tier C; confidence low; micro-segment Engagement; action "Follow up on the topic they engaged with", runner-up "Invite to a related session"; to Lia Chan by nobody (no way to reach them); For Review: Below deal size; Low confidence; Can't reach them (due: 1 working day)</t>
        </is>
      </c>
      <c r="H135" s="4" t="inlineStr">
        <is>
          <t>Medium</t>
        </is>
      </c>
      <c r="I135" s="4" t="inlineStr">
        <is>
          <t>Not run</t>
        </is>
      </c>
      <c r="J135" s="5" t="inlineStr"/>
      <c r="K135" s="5" t="inlineStr"/>
      <c r="L135" s="6" t="inlineStr"/>
      <c r="M135" s="5" t="inlineStr"/>
    </row>
    <row r="136">
      <c r="A136" s="4" t="inlineStr">
        <is>
          <t>RV-013</t>
        </is>
      </c>
      <c r="B136" s="4" t="inlineStr">
        <is>
          <t>For Review</t>
        </is>
      </c>
      <c r="C136" s="4" t="inlineStr">
        <is>
          <t>Review reasons</t>
        </is>
      </c>
      <c r="D136" s="4" t="inlineStr">
        <is>
          <t>TS9</t>
        </is>
      </c>
      <c r="E136" s="4" t="inlineStr">
        <is>
          <t>Marlowe Refining: Inquiry with low confidence: in For Review and due the same day because it is an inquiry</t>
        </is>
      </c>
      <c r="F136" s="4" t="inlineStr">
        <is>
          <t>In the TS9 run, open Marlowe Refining.</t>
        </is>
      </c>
      <c r="G136" s="4" t="inlineStr">
        <is>
          <t>Fit 97; score 48.5; tier A; confidence low; micro-segment Inquiry; action "Call to follow up on the inquiry", runner-up "Route the inquiry to the sales owner"; to Mia Ko by Email; For Review: Low confidence (due: same day)</t>
        </is>
      </c>
      <c r="H136" s="4" t="inlineStr">
        <is>
          <t>Medium</t>
        </is>
      </c>
      <c r="I136" s="4" t="inlineStr">
        <is>
          <t>Not run</t>
        </is>
      </c>
      <c r="J136" s="5" t="inlineStr"/>
      <c r="K136" s="5" t="inlineStr"/>
      <c r="L136" s="6" t="inlineStr"/>
      <c r="M136" s="5" t="inlineStr"/>
    </row>
    <row r="137">
      <c r="A137" s="4" t="inlineStr">
        <is>
          <t>RV-014</t>
        </is>
      </c>
      <c r="B137" s="4" t="inlineStr">
        <is>
          <t>For Review</t>
        </is>
      </c>
      <c r="C137" s="4" t="inlineStr">
        <is>
          <t>Review reasons</t>
        </is>
      </c>
      <c r="D137" s="4" t="inlineStr">
        <is>
          <t>TS9</t>
        </is>
      </c>
      <c r="E137" s="4" t="inlineStr">
        <is>
          <t>Nettlebed Refining: Inquiry segment member (makes the Inquiry segment form)</t>
        </is>
      </c>
      <c r="F137" s="4" t="inlineStr">
        <is>
          <t>In the TS9 run, open Nettlebed Refining.</t>
        </is>
      </c>
      <c r="G137" s="4" t="inlineStr">
        <is>
          <t>Fit 100; score 50;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137" s="4" t="inlineStr">
        <is>
          <t>Medium</t>
        </is>
      </c>
      <c r="I137" s="4" t="inlineStr">
        <is>
          <t>Not run</t>
        </is>
      </c>
      <c r="J137" s="5" t="inlineStr"/>
      <c r="K137" s="5" t="inlineStr"/>
      <c r="L137" s="6" t="inlineStr"/>
      <c r="M137" s="5" t="inlineStr"/>
    </row>
    <row r="138">
      <c r="A138" s="4" t="inlineStr">
        <is>
          <t>RV-015</t>
        </is>
      </c>
      <c r="B138" s="4" t="inlineStr">
        <is>
          <t>For Review</t>
        </is>
      </c>
      <c r="C138" s="4" t="inlineStr">
        <is>
          <t>Review reasons</t>
        </is>
      </c>
      <c r="D138" s="4" t="inlineStr">
        <is>
          <t>TS9</t>
        </is>
      </c>
      <c r="E138" s="4" t="inlineStr">
        <is>
          <t>Oxbow Refining: Inquiry segment member (makes the Inquiry segment form)</t>
        </is>
      </c>
      <c r="F138" s="4" t="inlineStr">
        <is>
          <t>In the TS9 run, open Oxbow Refining.</t>
        </is>
      </c>
      <c r="G138" s="4" t="inlineStr">
        <is>
          <t>Fit 100; score 50; tier A; confidence medium; micro-segment Inquiry; action "Call to follow up on the inquiry", runner-up "Route the inquiry to the sales owner"; to Alex Tan by Email; For Review: None: goes ahead on its own (may be drawn for a spot-check)</t>
        </is>
      </c>
      <c r="H138" s="4" t="inlineStr">
        <is>
          <t>Medium</t>
        </is>
      </c>
      <c r="I138" s="4" t="inlineStr">
        <is>
          <t>Not run</t>
        </is>
      </c>
      <c r="J138" s="5" t="inlineStr"/>
      <c r="K138" s="5" t="inlineStr"/>
      <c r="L138" s="6" t="inlineStr"/>
      <c r="M138" s="5" t="inlineStr"/>
    </row>
    <row r="139">
      <c r="A139" s="4" t="inlineStr">
        <is>
          <t>RV-016</t>
        </is>
      </c>
      <c r="B139" s="4" t="inlineStr">
        <is>
          <t>For Review</t>
        </is>
      </c>
      <c r="C139" s="4" t="inlineStr">
        <is>
          <t>Actions</t>
        </is>
      </c>
      <c r="D139" s="4" t="inlineStr">
        <is>
          <t>TS9</t>
        </is>
      </c>
      <c r="E139" s="4" t="inlineStr">
        <is>
          <t>Approve an item</t>
        </is>
      </c>
      <c r="F139" s="4" t="inlineStr">
        <is>
          <t>Use the TS9 run in For Review.</t>
        </is>
      </c>
      <c r="G139" s="4" t="inlineStr">
        <is>
          <t>It leaves the queue as approved and is counted in Today and Analytics.</t>
        </is>
      </c>
      <c r="H139" s="4" t="inlineStr">
        <is>
          <t>High</t>
        </is>
      </c>
      <c r="I139" s="4" t="inlineStr">
        <is>
          <t>Not run</t>
        </is>
      </c>
      <c r="J139" s="5" t="inlineStr"/>
      <c r="K139" s="5" t="inlineStr"/>
      <c r="L139" s="6" t="inlineStr"/>
      <c r="M139" s="5" t="inlineStr"/>
    </row>
    <row r="140">
      <c r="A140" s="4" t="inlineStr">
        <is>
          <t>RV-017</t>
        </is>
      </c>
      <c r="B140" s="4" t="inlineStr">
        <is>
          <t>For Review</t>
        </is>
      </c>
      <c r="C140" s="4" t="inlineStr">
        <is>
          <t>Actions</t>
        </is>
      </c>
      <c r="D140" s="4" t="inlineStr">
        <is>
          <t>TS9</t>
        </is>
      </c>
      <c r="E140" s="4" t="inlineStr">
        <is>
          <t>Reject an item with a reason</t>
        </is>
      </c>
      <c r="F140" s="4" t="inlineStr">
        <is>
          <t>Use the TS9 run in For Review.</t>
        </is>
      </c>
      <c r="G140" s="4" t="inlineStr">
        <is>
          <t>It leaves the queue; the reason is kept and shows in Analytics.</t>
        </is>
      </c>
      <c r="H140" s="4" t="inlineStr">
        <is>
          <t>High</t>
        </is>
      </c>
      <c r="I140" s="4" t="inlineStr">
        <is>
          <t>Not run</t>
        </is>
      </c>
      <c r="J140" s="5" t="inlineStr"/>
      <c r="K140" s="5" t="inlineStr"/>
      <c r="L140" s="6" t="inlineStr"/>
      <c r="M140" s="5" t="inlineStr"/>
    </row>
    <row r="141">
      <c r="A141" s="4" t="inlineStr">
        <is>
          <t>RV-018</t>
        </is>
      </c>
      <c r="B141" s="4" t="inlineStr">
        <is>
          <t>For Review</t>
        </is>
      </c>
      <c r="C141" s="4" t="inlineStr">
        <is>
          <t>Actions</t>
        </is>
      </c>
      <c r="D141" s="4" t="inlineStr">
        <is>
          <t>TS9</t>
        </is>
      </c>
      <c r="E141" s="4" t="inlineStr">
        <is>
          <t>Edit a draft, then approve</t>
        </is>
      </c>
      <c r="F141" s="4" t="inlineStr">
        <is>
          <t>Use the TS9 run in For Review.</t>
        </is>
      </c>
      <c r="G141" s="4" t="inlineStr">
        <is>
          <t>The edited text is kept; the checks run again on the edited text.</t>
        </is>
      </c>
      <c r="H141" s="4" t="inlineStr">
        <is>
          <t>High</t>
        </is>
      </c>
      <c r="I141" s="4" t="inlineStr">
        <is>
          <t>Not run</t>
        </is>
      </c>
      <c r="J141" s="5" t="inlineStr"/>
      <c r="K141" s="5" t="inlineStr"/>
      <c r="L141" s="6" t="inlineStr"/>
      <c r="M141" s="5" t="inlineStr"/>
    </row>
    <row r="142">
      <c r="A142" s="4" t="inlineStr">
        <is>
          <t>RV-019</t>
        </is>
      </c>
      <c r="B142" s="4" t="inlineStr">
        <is>
          <t>For Review</t>
        </is>
      </c>
      <c r="C142" s="4" t="inlineStr">
        <is>
          <t>Actions</t>
        </is>
      </c>
      <c r="D142" s="4" t="inlineStr">
        <is>
          <t>TS9</t>
        </is>
      </c>
      <c r="E142" s="4" t="inlineStr">
        <is>
          <t>Send an item back</t>
        </is>
      </c>
      <c r="F142" s="4" t="inlineStr">
        <is>
          <t>Use the TS9 run in For Review.</t>
        </is>
      </c>
      <c r="G142" s="4" t="inlineStr">
        <is>
          <t>It returns with the "Sent back" reason, due the same day.</t>
        </is>
      </c>
      <c r="H142" s="4" t="inlineStr">
        <is>
          <t>Medium</t>
        </is>
      </c>
      <c r="I142" s="4" t="inlineStr">
        <is>
          <t>Not run</t>
        </is>
      </c>
      <c r="J142" s="5" t="inlineStr"/>
      <c r="K142" s="5" t="inlineStr"/>
      <c r="L142" s="6" t="inlineStr"/>
      <c r="M142" s="5" t="inlineStr"/>
    </row>
    <row r="143">
      <c r="A143" s="4" t="inlineStr">
        <is>
          <t>RV-020</t>
        </is>
      </c>
      <c r="B143" s="4" t="inlineStr">
        <is>
          <t>For Review</t>
        </is>
      </c>
      <c r="C143" s="4" t="inlineStr">
        <is>
          <t>Actions</t>
        </is>
      </c>
      <c r="D143" s="4" t="inlineStr">
        <is>
          <t>TS9</t>
        </is>
      </c>
      <c r="E143" s="4" t="inlineStr">
        <is>
          <t>Assign a micro-segment to an exception</t>
        </is>
      </c>
      <c r="F143" s="4" t="inlineStr">
        <is>
          <t>Use the TS9 run in For Review.</t>
        </is>
      </c>
      <c r="G143" s="4" t="inlineStr">
        <is>
          <t>The item moves into the chosen segment and the "Segment too small" reason clears.</t>
        </is>
      </c>
      <c r="H143" s="4" t="inlineStr">
        <is>
          <t>High</t>
        </is>
      </c>
      <c r="I143" s="4" t="inlineStr">
        <is>
          <t>Not run</t>
        </is>
      </c>
      <c r="J143" s="5" t="inlineStr"/>
      <c r="K143" s="5" t="inlineStr"/>
      <c r="L143" s="6" t="inlineStr"/>
      <c r="M143" s="5" t="inlineStr"/>
    </row>
    <row r="144">
      <c r="A144" s="4" t="inlineStr">
        <is>
          <t>RV-021</t>
        </is>
      </c>
      <c r="B144" s="4" t="inlineStr">
        <is>
          <t>For Review</t>
        </is>
      </c>
      <c r="C144" s="4" t="inlineStr">
        <is>
          <t>Actions</t>
        </is>
      </c>
      <c r="D144" s="4" t="inlineStr">
        <is>
          <t>TS9</t>
        </is>
      </c>
      <c r="E144" s="4" t="inlineStr">
        <is>
          <t>Add an email for a contact nobody can reach</t>
        </is>
      </c>
      <c r="F144" s="4" t="inlineStr">
        <is>
          <t>Use the TS9 run in For Review.</t>
        </is>
      </c>
      <c r="G144" s="4" t="inlineStr">
        <is>
          <t>The "Can't reach them" reason clears and the draft uses email; the fix shows in Prospecting and Scoring for that contact too.</t>
        </is>
      </c>
      <c r="H144" s="4" t="inlineStr">
        <is>
          <t>Medium</t>
        </is>
      </c>
      <c r="I144" s="4" t="inlineStr">
        <is>
          <t>Not run</t>
        </is>
      </c>
      <c r="J144" s="5" t="inlineStr"/>
      <c r="K144" s="5" t="inlineStr"/>
      <c r="L144" s="6" t="inlineStr"/>
      <c r="M144" s="5" t="inlineStr"/>
    </row>
    <row r="145">
      <c r="A145" s="4" t="inlineStr">
        <is>
          <t>RV-022</t>
        </is>
      </c>
      <c r="B145" s="4" t="inlineStr">
        <is>
          <t>For Review</t>
        </is>
      </c>
      <c r="C145" s="4" t="inlineStr">
        <is>
          <t>Actions</t>
        </is>
      </c>
      <c r="D145" s="4" t="inlineStr">
        <is>
          <t>TS9</t>
        </is>
      </c>
      <c r="E145" s="4" t="inlineStr">
        <is>
          <t>Pause a whole micro-segment (Sales manager)</t>
        </is>
      </c>
      <c r="F145" s="4" t="inlineStr">
        <is>
          <t>Use the TS9 run in For Review.</t>
        </is>
      </c>
      <c r="G145" s="4" t="inlineStr">
        <is>
          <t>Its items stay in place but cannot be decided until resumed.</t>
        </is>
      </c>
      <c r="H145" s="4" t="inlineStr">
        <is>
          <t>Medium</t>
        </is>
      </c>
      <c r="I145" s="4" t="inlineStr">
        <is>
          <t>Not run</t>
        </is>
      </c>
      <c r="J145" s="5" t="inlineStr"/>
      <c r="K145" s="5" t="inlineStr"/>
      <c r="L145" s="6" t="inlineStr"/>
      <c r="M145" s="5" t="inlineStr"/>
    </row>
    <row r="146">
      <c r="A146" s="4" t="inlineStr">
        <is>
          <t>RV-023</t>
        </is>
      </c>
      <c r="B146" s="4" t="inlineStr">
        <is>
          <t>For Review</t>
        </is>
      </c>
      <c r="C146" s="4" t="inlineStr">
        <is>
          <t>Actions</t>
        </is>
      </c>
      <c r="D146" s="4" t="inlineStr">
        <is>
          <t>TS9</t>
        </is>
      </c>
      <c r="E146" s="4" t="inlineStr">
        <is>
          <t>Spot-check share</t>
        </is>
      </c>
      <c r="F146" s="4" t="inlineStr">
        <is>
          <t>Use the TS9 run in For Review.</t>
        </is>
      </c>
      <c r="G146" s="4" t="inlineStr">
        <is>
          <t>About 20% of the items that went ahead on their own are drawn for a spot-check, due Friday.</t>
        </is>
      </c>
      <c r="H146" s="4" t="inlineStr">
        <is>
          <t>Low</t>
        </is>
      </c>
      <c r="I146" s="4" t="inlineStr">
        <is>
          <t>Not run</t>
        </is>
      </c>
      <c r="J146" s="5" t="inlineStr"/>
      <c r="K146" s="5" t="inlineStr"/>
      <c r="L146" s="6" t="inlineStr"/>
      <c r="M146" s="5" t="inlineStr"/>
    </row>
    <row r="147">
      <c r="A147" s="4" t="inlineStr">
        <is>
          <t>RV-024</t>
        </is>
      </c>
      <c r="B147" s="4" t="inlineStr">
        <is>
          <t>For Review</t>
        </is>
      </c>
      <c r="C147" s="4" t="inlineStr">
        <is>
          <t>Volume</t>
        </is>
      </c>
      <c r="D147" s="4" t="inlineStr">
        <is>
          <t>TS12</t>
        </is>
      </c>
      <c r="E147" s="4" t="inlineStr">
        <is>
          <t>Volume list review queue</t>
        </is>
      </c>
      <c r="F147" s="4" t="inlineStr">
        <is>
          <t>Run TS12_Realistic_mixed_list.xlsx through Prospecting, Scoring (as of 2026-10-20) and Micro-segments.</t>
        </is>
      </c>
      <c r="G147" s="4" t="inlineStr">
        <is>
          <t>16 items need a person, 17 go ahead on their own.</t>
        </is>
      </c>
      <c r="H147" s="4" t="inlineStr">
        <is>
          <t>Medium</t>
        </is>
      </c>
      <c r="I147" s="4" t="inlineStr">
        <is>
          <t>Not run</t>
        </is>
      </c>
      <c r="J147" s="5" t="inlineStr"/>
      <c r="K147" s="5" t="inlineStr"/>
      <c r="L147" s="6" t="inlineStr"/>
      <c r="M147" s="5" t="inlineStr"/>
    </row>
    <row r="148">
      <c r="A148" s="4" t="inlineStr">
        <is>
          <t>TD-001</t>
        </is>
      </c>
      <c r="B148" s="4" t="inlineStr">
        <is>
          <t>Today</t>
        </is>
      </c>
      <c r="C148" s="4" t="inlineStr">
        <is>
          <t>Counts</t>
        </is>
      </c>
      <c r="D148" s="4" t="inlineStr">
        <is>
          <t>TS9</t>
        </is>
      </c>
      <c r="E148" s="4" t="inlineStr">
        <is>
          <t>Today shows what needs a person</t>
        </is>
      </c>
      <c r="F148" s="4" t="inlineStr">
        <is>
          <t>Open Today after the TS9 run.</t>
        </is>
      </c>
      <c r="G148" s="4" t="inlineStr">
        <is>
          <t>9 items waiting, grouped by due date; Marlowe Refining and Fernhill Refining due today.</t>
        </is>
      </c>
      <c r="H148" s="4" t="inlineStr">
        <is>
          <t>High</t>
        </is>
      </c>
      <c r="I148" s="4" t="inlineStr">
        <is>
          <t>Not run</t>
        </is>
      </c>
      <c r="J148" s="5" t="inlineStr"/>
      <c r="K148" s="5" t="inlineStr"/>
      <c r="L148" s="6" t="inlineStr"/>
      <c r="M148" s="5" t="inlineStr"/>
    </row>
    <row r="149">
      <c r="A149" s="4" t="inlineStr">
        <is>
          <t>TD-002</t>
        </is>
      </c>
      <c r="B149" s="4" t="inlineStr">
        <is>
          <t>Today</t>
        </is>
      </c>
      <c r="C149" s="4" t="inlineStr">
        <is>
          <t>Counts</t>
        </is>
      </c>
      <c r="D149" s="4" t="inlineStr">
        <is>
          <t>TS1</t>
        </is>
      </c>
      <c r="E149" s="4" t="inlineStr">
        <is>
          <t>Today matches For Review after decisions</t>
        </is>
      </c>
      <c r="F149" s="4" t="inlineStr">
        <is>
          <t>Decide a few TS1 items in For Review, then open Today.</t>
        </is>
      </c>
      <c r="G149" s="4" t="inlineStr">
        <is>
          <t>Waiting and decided counts match For Review.</t>
        </is>
      </c>
      <c r="H149" s="4" t="inlineStr">
        <is>
          <t>Medium</t>
        </is>
      </c>
      <c r="I149" s="4" t="inlineStr">
        <is>
          <t>Not run</t>
        </is>
      </c>
      <c r="J149" s="5" t="inlineStr"/>
      <c r="K149" s="5" t="inlineStr"/>
      <c r="L149" s="6" t="inlineStr"/>
      <c r="M149" s="5" t="inlineStr"/>
    </row>
    <row r="150">
      <c r="A150" s="4" t="inlineStr">
        <is>
          <t>TD-003</t>
        </is>
      </c>
      <c r="B150" s="4" t="inlineStr">
        <is>
          <t>Today</t>
        </is>
      </c>
      <c r="C150" s="4" t="inlineStr">
        <is>
          <t>Volume</t>
        </is>
      </c>
      <c r="D150" s="4" t="inlineStr">
        <is>
          <t>TS12</t>
        </is>
      </c>
      <c r="E150" s="4" t="inlineStr">
        <is>
          <t>Volume list in Today</t>
        </is>
      </c>
      <c r="F150" s="4" t="inlineStr">
        <is>
          <t>Run TS12_Realistic_mixed_list.xlsx through Prospecting, Scoring (as of 2026-10-20) and Micro-segments.</t>
        </is>
      </c>
      <c r="G150" s="4" t="inlineStr">
        <is>
          <t>Counts match For Review; the page loads without errors.</t>
        </is>
      </c>
      <c r="H150" s="4" t="inlineStr">
        <is>
          <t>Medium</t>
        </is>
      </c>
      <c r="I150" s="4" t="inlineStr">
        <is>
          <t>Not run</t>
        </is>
      </c>
      <c r="J150" s="5" t="inlineStr"/>
      <c r="K150" s="5" t="inlineStr"/>
      <c r="L150" s="6" t="inlineStr"/>
      <c r="M150" s="5" t="inlineStr"/>
    </row>
    <row r="151">
      <c r="A151" s="4" t="inlineStr">
        <is>
          <t>AN-001</t>
        </is>
      </c>
      <c r="B151" s="4" t="inlineStr">
        <is>
          <t>Analytics</t>
        </is>
      </c>
      <c r="C151" s="4" t="inlineStr">
        <is>
          <t>Counts</t>
        </is>
      </c>
      <c r="D151" s="4" t="inlineStr">
        <is>
          <t>TS1</t>
        </is>
      </c>
      <c r="E151" s="4" t="inlineStr">
        <is>
          <t>Analytics counts the decisions</t>
        </is>
      </c>
      <c r="F151" s="4" t="inlineStr">
        <is>
          <t>After deciding items for TS1, open Analytics.</t>
        </is>
      </c>
      <c r="G151" s="4" t="inlineStr">
        <is>
          <t>Approved, rejected and edited counts match what was done; gates read "too early to call" below 10 decisions.</t>
        </is>
      </c>
      <c r="H151" s="4" t="inlineStr">
        <is>
          <t>High</t>
        </is>
      </c>
      <c r="I151" s="4" t="inlineStr">
        <is>
          <t>Not run</t>
        </is>
      </c>
      <c r="J151" s="5" t="inlineStr"/>
      <c r="K151" s="5" t="inlineStr"/>
      <c r="L151" s="6" t="inlineStr"/>
      <c r="M151" s="5" t="inlineStr"/>
    </row>
    <row r="152">
      <c r="A152" s="4" t="inlineStr">
        <is>
          <t>CL-001</t>
        </is>
      </c>
      <c r="B152" s="4" t="inlineStr">
        <is>
          <t>Content library</t>
        </is>
      </c>
      <c r="C152" s="4" t="inlineStr">
        <is>
          <t>Brand guideline</t>
        </is>
      </c>
      <c r="D152" s="4" t="inlineStr">
        <is>
          <t>TS5</t>
        </is>
      </c>
      <c r="E152" s="4" t="inlineStr">
        <is>
          <t>Rules read from an uploaded guideline</t>
        </is>
      </c>
      <c r="F152" s="4" t="inlineStr">
        <is>
          <t>Upload TS5_Brand_guideline.md in Content library &gt; Brand guidelines.</t>
        </is>
      </c>
      <c r="G152" s="4" t="inlineStr">
        <is>
          <t>16 rules found, exactly the list in the TS5 answer key; the "Not rules" lines are ignored.</t>
        </is>
      </c>
      <c r="H152" s="4" t="inlineStr">
        <is>
          <t>High</t>
        </is>
      </c>
      <c r="I152" s="4" t="inlineStr">
        <is>
          <t>Not run</t>
        </is>
      </c>
      <c r="J152" s="5" t="inlineStr"/>
      <c r="K152" s="5" t="inlineStr"/>
      <c r="L152" s="6" t="inlineStr"/>
      <c r="M152" s="5" t="inlineStr"/>
    </row>
    <row r="153">
      <c r="A153" s="4" t="inlineStr">
        <is>
          <t>CL-002</t>
        </is>
      </c>
      <c r="B153" s="4" t="inlineStr">
        <is>
          <t>Content library</t>
        </is>
      </c>
      <c r="C153" s="4" t="inlineStr">
        <is>
          <t>Brand guideline</t>
        </is>
      </c>
      <c r="D153" s="4" t="inlineStr">
        <is>
          <t>TS5</t>
        </is>
      </c>
      <c r="E153" s="4" t="inlineStr">
        <is>
          <t>A new brand version is used by the checks</t>
        </is>
      </c>
      <c r="F153" s="4" t="inlineStr">
        <is>
          <t>Publish the TS5 rules as a new brand version; write "synergy" and "Rivalco" into a draft in For Review.</t>
        </is>
      </c>
      <c r="G153" s="4" t="inlineStr">
        <is>
          <t>Both are flagged (banned word, competitor).</t>
        </is>
      </c>
      <c r="H153" s="4" t="inlineStr">
        <is>
          <t>Medium</t>
        </is>
      </c>
      <c r="I153" s="4" t="inlineStr">
        <is>
          <t>Not run</t>
        </is>
      </c>
      <c r="J153" s="5" t="inlineStr"/>
      <c r="K153" s="5" t="inlineStr"/>
      <c r="L153" s="6" t="inlineStr"/>
      <c r="M153" s="5" t="inlineStr"/>
    </row>
    <row r="154">
      <c r="A154" s="4" t="inlineStr">
        <is>
          <t>RL-001</t>
        </is>
      </c>
      <c r="B154" s="4" t="inlineStr">
        <is>
          <t>Roles and visibility</t>
        </is>
      </c>
      <c r="C154" s="4" t="inlineStr">
        <is>
          <t>Whole set</t>
        </is>
      </c>
      <c r="D154" s="4" t="inlineStr">
        <is>
          <t>TS10</t>
        </is>
      </c>
      <c r="E154" s="4" t="inlineStr">
        <is>
          <t>Rep ownership and visibility: run the set end to end</t>
        </is>
      </c>
      <c r="F154" s="4" t="inlineStr">
        <is>
          <t>Prospecting: upload TS10_Rep_ownership.xlsx, save as "TS10". Scoring: list "TS10", Score as of 2026-10-20, same file. Build Micro-segments from that scoring.</t>
        </is>
      </c>
      <c r="G154" s="4" t="inlineStr">
        <is>
          <t>Tiers: A 5, B 4. Segments: Inquiry 5, Engagement 4. 0 item(s) in For Review, 9 going ahead.</t>
        </is>
      </c>
      <c r="H154" s="4" t="inlineStr">
        <is>
          <t>High</t>
        </is>
      </c>
      <c r="I154" s="4" t="inlineStr">
        <is>
          <t>Not run</t>
        </is>
      </c>
      <c r="J154" s="5" t="inlineStr"/>
      <c r="K154" s="5" t="inlineStr"/>
      <c r="L154" s="6" t="inlineStr"/>
      <c r="M154" s="5" t="inlineStr"/>
    </row>
    <row r="155">
      <c r="A155" s="4" t="inlineStr">
        <is>
          <t>RL-002</t>
        </is>
      </c>
      <c r="B155" s="4" t="inlineStr">
        <is>
          <t>Roles and visibility</t>
        </is>
      </c>
      <c r="C155" s="4" t="inlineStr">
        <is>
          <t>Ownership</t>
        </is>
      </c>
      <c r="D155" s="4" t="inlineStr">
        <is>
          <t>TS10</t>
        </is>
      </c>
      <c r="E155" s="4" t="inlineStr">
        <is>
          <t>Arden Refining: Owned by Rep A</t>
        </is>
      </c>
      <c r="F155" s="4" t="inlineStr">
        <is>
          <t>In the TS10 run, open Arden Refining as Sales rep, then as Sales manager.</t>
        </is>
      </c>
      <c r="G155" s="4" t="inlineStr">
        <is>
          <t>Owner rep.a@client-sample.com. Sales rep (Rep A) sees it; Sales manager sees it.</t>
        </is>
      </c>
      <c r="H155" s="4" t="inlineStr">
        <is>
          <t>Medium</t>
        </is>
      </c>
      <c r="I155" s="4" t="inlineStr">
        <is>
          <t>Not run</t>
        </is>
      </c>
      <c r="J155" s="5" t="inlineStr"/>
      <c r="K155" s="5" t="inlineStr"/>
      <c r="L155" s="6" t="inlineStr"/>
      <c r="M155" s="5" t="inlineStr"/>
    </row>
    <row r="156">
      <c r="A156" s="4" t="inlineStr">
        <is>
          <t>RL-003</t>
        </is>
      </c>
      <c r="B156" s="4" t="inlineStr">
        <is>
          <t>Roles and visibility</t>
        </is>
      </c>
      <c r="C156" s="4" t="inlineStr">
        <is>
          <t>Ownership</t>
        </is>
      </c>
      <c r="D156" s="4" t="inlineStr">
        <is>
          <t>TS10</t>
        </is>
      </c>
      <c r="E156" s="4" t="inlineStr">
        <is>
          <t>Brookfield Refining: Owned by Rep A</t>
        </is>
      </c>
      <c r="F156" s="4" t="inlineStr">
        <is>
          <t>In the TS10 run, open Brookfield Refining as Sales rep, then as Sales manager.</t>
        </is>
      </c>
      <c r="G156" s="4" t="inlineStr">
        <is>
          <t>Owner rep.a@client-sample.com. Sales rep (Rep A) sees it; Sales manager sees it.</t>
        </is>
      </c>
      <c r="H156" s="4" t="inlineStr">
        <is>
          <t>Medium</t>
        </is>
      </c>
      <c r="I156" s="4" t="inlineStr">
        <is>
          <t>Not run</t>
        </is>
      </c>
      <c r="J156" s="5" t="inlineStr"/>
      <c r="K156" s="5" t="inlineStr"/>
      <c r="L156" s="6" t="inlineStr"/>
      <c r="M156" s="5" t="inlineStr"/>
    </row>
    <row r="157">
      <c r="A157" s="4" t="inlineStr">
        <is>
          <t>RL-004</t>
        </is>
      </c>
      <c r="B157" s="4" t="inlineStr">
        <is>
          <t>Roles and visibility</t>
        </is>
      </c>
      <c r="C157" s="4" t="inlineStr">
        <is>
          <t>Ownership</t>
        </is>
      </c>
      <c r="D157" s="4" t="inlineStr">
        <is>
          <t>TS10</t>
        </is>
      </c>
      <c r="E157" s="4" t="inlineStr">
        <is>
          <t>Carrow Refining: Owned by Rep A</t>
        </is>
      </c>
      <c r="F157" s="4" t="inlineStr">
        <is>
          <t>In the TS10 run, open Carrow Refining as Sales rep, then as Sales manager.</t>
        </is>
      </c>
      <c r="G157" s="4" t="inlineStr">
        <is>
          <t>Owner rep.a@client-sample.com. Sales rep (Rep A) sees it; Sales manager sees it.</t>
        </is>
      </c>
      <c r="H157" s="4" t="inlineStr">
        <is>
          <t>Medium</t>
        </is>
      </c>
      <c r="I157" s="4" t="inlineStr">
        <is>
          <t>Not run</t>
        </is>
      </c>
      <c r="J157" s="5" t="inlineStr"/>
      <c r="K157" s="5" t="inlineStr"/>
      <c r="L157" s="6" t="inlineStr"/>
      <c r="M157" s="5" t="inlineStr"/>
    </row>
    <row r="158">
      <c r="A158" s="4" t="inlineStr">
        <is>
          <t>RL-005</t>
        </is>
      </c>
      <c r="B158" s="4" t="inlineStr">
        <is>
          <t>Roles and visibility</t>
        </is>
      </c>
      <c r="C158" s="4" t="inlineStr">
        <is>
          <t>Ownership</t>
        </is>
      </c>
      <c r="D158" s="4" t="inlineStr">
        <is>
          <t>TS10</t>
        </is>
      </c>
      <c r="E158" s="4" t="inlineStr">
        <is>
          <t>Denholm Refining: Owned by Rep B</t>
        </is>
      </c>
      <c r="F158" s="4" t="inlineStr">
        <is>
          <t>In the TS10 run, open Denholm Refining as Sales rep, then as Sales manager.</t>
        </is>
      </c>
      <c r="G158" s="4" t="inlineStr">
        <is>
          <t>Owner rep.b@client-sample.com. Sales rep (Rep A) does not see it; Sales manager sees it.</t>
        </is>
      </c>
      <c r="H158" s="4" t="inlineStr">
        <is>
          <t>Medium</t>
        </is>
      </c>
      <c r="I158" s="4" t="inlineStr">
        <is>
          <t>Not run</t>
        </is>
      </c>
      <c r="J158" s="5" t="inlineStr"/>
      <c r="K158" s="5" t="inlineStr"/>
      <c r="L158" s="6" t="inlineStr"/>
      <c r="M158" s="5" t="inlineStr"/>
    </row>
    <row r="159">
      <c r="A159" s="4" t="inlineStr">
        <is>
          <t>RL-006</t>
        </is>
      </c>
      <c r="B159" s="4" t="inlineStr">
        <is>
          <t>Roles and visibility</t>
        </is>
      </c>
      <c r="C159" s="4" t="inlineStr">
        <is>
          <t>Ownership</t>
        </is>
      </c>
      <c r="D159" s="4" t="inlineStr">
        <is>
          <t>TS10</t>
        </is>
      </c>
      <c r="E159" s="4" t="inlineStr">
        <is>
          <t>Everley Refining: Owned by Rep B</t>
        </is>
      </c>
      <c r="F159" s="4" t="inlineStr">
        <is>
          <t>In the TS10 run, open Everley Refining as Sales rep, then as Sales manager.</t>
        </is>
      </c>
      <c r="G159" s="4" t="inlineStr">
        <is>
          <t>Owner rep.b@client-sample.com. Sales rep (Rep A) does not see it; Sales manager sees it.</t>
        </is>
      </c>
      <c r="H159" s="4" t="inlineStr">
        <is>
          <t>Medium</t>
        </is>
      </c>
      <c r="I159" s="4" t="inlineStr">
        <is>
          <t>Not run</t>
        </is>
      </c>
      <c r="J159" s="5" t="inlineStr"/>
      <c r="K159" s="5" t="inlineStr"/>
      <c r="L159" s="6" t="inlineStr"/>
      <c r="M159" s="5" t="inlineStr"/>
    </row>
    <row r="160">
      <c r="A160" s="4" t="inlineStr">
        <is>
          <t>RL-007</t>
        </is>
      </c>
      <c r="B160" s="4" t="inlineStr">
        <is>
          <t>Roles and visibility</t>
        </is>
      </c>
      <c r="C160" s="4" t="inlineStr">
        <is>
          <t>Ownership</t>
        </is>
      </c>
      <c r="D160" s="4" t="inlineStr">
        <is>
          <t>TS10</t>
        </is>
      </c>
      <c r="E160" s="4" t="inlineStr">
        <is>
          <t>Fallowfield Refining: No owner: flagged in Prospecting; only the sales manager sees it</t>
        </is>
      </c>
      <c r="F160" s="4" t="inlineStr">
        <is>
          <t>In the TS10 run, open Fallowfield Refining as Sales rep, then as Sales manager.</t>
        </is>
      </c>
      <c r="G160" s="4" t="inlineStr">
        <is>
          <t>Owner (none). Sales rep (Rep A) does not see it; Sales manager sees it.</t>
        </is>
      </c>
      <c r="H160" s="4" t="inlineStr">
        <is>
          <t>Medium</t>
        </is>
      </c>
      <c r="I160" s="4" t="inlineStr">
        <is>
          <t>Not run</t>
        </is>
      </c>
      <c r="J160" s="5" t="inlineStr"/>
      <c r="K160" s="5" t="inlineStr"/>
      <c r="L160" s="6" t="inlineStr"/>
      <c r="M160" s="5" t="inlineStr"/>
    </row>
    <row r="161">
      <c r="A161" s="4" t="inlineStr">
        <is>
          <t>RL-008</t>
        </is>
      </c>
      <c r="B161" s="4" t="inlineStr">
        <is>
          <t>Roles and visibility</t>
        </is>
      </c>
      <c r="C161" s="4" t="inlineStr">
        <is>
          <t>Ownership</t>
        </is>
      </c>
      <c r="D161" s="4" t="inlineStr">
        <is>
          <t>TS10</t>
        </is>
      </c>
      <c r="E161" s="4" t="inlineStr">
        <is>
          <t>Glenrock Refining: Owner is a valid email but not a user in the demo: shown as the email, only the manager sees it</t>
        </is>
      </c>
      <c r="F161" s="4" t="inlineStr">
        <is>
          <t>In the TS10 run, open Glenrock Refining as Sales rep, then as Sales manager.</t>
        </is>
      </c>
      <c r="G161" s="4" t="inlineStr">
        <is>
          <t>Owner aisha.rahman@client-sample.com. Sales rep (Rep A) does not see it; Sales manager sees it.</t>
        </is>
      </c>
      <c r="H161" s="4" t="inlineStr">
        <is>
          <t>Medium</t>
        </is>
      </c>
      <c r="I161" s="4" t="inlineStr">
        <is>
          <t>Not run</t>
        </is>
      </c>
      <c r="J161" s="5" t="inlineStr"/>
      <c r="K161" s="5" t="inlineStr"/>
      <c r="L161" s="6" t="inlineStr"/>
      <c r="M161" s="5" t="inlineStr"/>
    </row>
    <row r="162">
      <c r="A162" s="4" t="inlineStr">
        <is>
          <t>RL-009</t>
        </is>
      </c>
      <c r="B162" s="4" t="inlineStr">
        <is>
          <t>Roles and visibility</t>
        </is>
      </c>
      <c r="C162" s="4" t="inlineStr">
        <is>
          <t>Ownership</t>
        </is>
      </c>
      <c r="D162" s="4" t="inlineStr">
        <is>
          <t>TS10</t>
        </is>
      </c>
      <c r="E162" s="4" t="inlineStr">
        <is>
          <t>Hartwell Refining: Rep A written in capitals: read as Rep A</t>
        </is>
      </c>
      <c r="F162" s="4" t="inlineStr">
        <is>
          <t>In the TS10 run, open Hartwell Refining as Sales rep, then as Sales manager.</t>
        </is>
      </c>
      <c r="G162" s="4" t="inlineStr">
        <is>
          <t>Owner rep.a@client-sample.com. Sales rep (Rep A) sees it; Sales manager sees it.</t>
        </is>
      </c>
      <c r="H162" s="4" t="inlineStr">
        <is>
          <t>Medium</t>
        </is>
      </c>
      <c r="I162" s="4" t="inlineStr">
        <is>
          <t>Not run</t>
        </is>
      </c>
      <c r="J162" s="5" t="inlineStr"/>
      <c r="K162" s="5" t="inlineStr"/>
      <c r="L162" s="6" t="inlineStr"/>
      <c r="M162" s="5" t="inlineStr"/>
    </row>
    <row r="163">
      <c r="A163" s="4" t="inlineStr">
        <is>
          <t>RL-010</t>
        </is>
      </c>
      <c r="B163" s="4" t="inlineStr">
        <is>
          <t>Roles and visibility</t>
        </is>
      </c>
      <c r="C163" s="4" t="inlineStr">
        <is>
          <t>Ownership</t>
        </is>
      </c>
      <c r="D163" s="4" t="inlineStr">
        <is>
          <t>TS10</t>
        </is>
      </c>
      <c r="E163" s="4" t="inlineStr">
        <is>
          <t>Ilford Bay Refining: Owner is a name, not an email: flagged in Prospecting; only the manager sees it</t>
        </is>
      </c>
      <c r="F163" s="4" t="inlineStr">
        <is>
          <t>In the TS10 run, open Ilford Bay Refining as Sales rep, then as Sales manager.</t>
        </is>
      </c>
      <c r="G163" s="4" t="inlineStr">
        <is>
          <t>Owner rep a. Sales rep (Rep A) does not see it; Sales manager sees it.</t>
        </is>
      </c>
      <c r="H163" s="4" t="inlineStr">
        <is>
          <t>Medium</t>
        </is>
      </c>
      <c r="I163" s="4" t="inlineStr">
        <is>
          <t>Not run</t>
        </is>
      </c>
      <c r="J163" s="5" t="inlineStr"/>
      <c r="K163" s="5" t="inlineStr"/>
      <c r="L163" s="6" t="inlineStr"/>
      <c r="M163" s="5" t="inlineStr"/>
    </row>
    <row r="164">
      <c r="A164" s="4" t="inlineStr">
        <is>
          <t>RL-011</t>
        </is>
      </c>
      <c r="B164" s="4" t="inlineStr">
        <is>
          <t>Roles and visibility</t>
        </is>
      </c>
      <c r="C164" s="4" t="inlineStr">
        <is>
          <t>Role switcher</t>
        </is>
      </c>
      <c r="D164" s="4" t="inlineStr">
        <is>
          <t>any</t>
        </is>
      </c>
      <c r="E164" s="4" t="inlineStr">
        <is>
          <t>Each role sees only its pages</t>
        </is>
      </c>
      <c r="F164" s="4" t="inlineStr">
        <is>
          <t>Switch through each demo role in the sidebar.</t>
        </is>
      </c>
      <c r="G164" s="4" t="inlineStr">
        <is>
          <t>Each role sees the pages set for it in Users and roles; Sales rep sees only Rep A items; Admin and Sales manager see all items.</t>
        </is>
      </c>
      <c r="H164" s="4" t="inlineStr">
        <is>
          <t>Medium</t>
        </is>
      </c>
      <c r="I164" s="4" t="inlineStr">
        <is>
          <t>Not run</t>
        </is>
      </c>
      <c r="J164" s="5" t="inlineStr"/>
      <c r="K164" s="5" t="inlineStr"/>
      <c r="L164" s="6" t="inlineStr"/>
      <c r="M164" s="5" t="inlineStr"/>
    </row>
  </sheetData>
  <autoFilter ref="A1:M164"/>
  <conditionalFormatting sqref="I2:I164">
    <cfRule type="expression" priority="1" dxfId="0">
      <formula>$I2="Pass"</formula>
    </cfRule>
    <cfRule type="expression" priority="2" dxfId="1">
      <formula>$I2="Fail"</formula>
    </cfRule>
    <cfRule type="expression" priority="3" dxfId="2">
      <formula>$I2="Blocked"</formula>
    </cfRule>
    <cfRule type="expression" priority="4" dxfId="3">
      <formula>$I2="Not in scope"</formula>
    </cfRule>
  </conditionalFormatting>
  <dataValidations count="2">
    <dataValidation sqref="I2:I164" showDropDown="0" showInputMessage="0" showErrorMessage="0" allowBlank="1" type="list">
      <formula1>"Not run,Pass,Fail,Blocked,Not in scope"</formula1>
    </dataValidation>
    <dataValidation sqref="H2:H16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Module</t>
        </is>
      </c>
      <c r="B1" s="7" t="inlineStr">
        <is>
          <t>Cases</t>
        </is>
      </c>
      <c r="C1" s="7" t="inlineStr">
        <is>
          <t>Not run</t>
        </is>
      </c>
      <c r="D1" s="7" t="inlineStr">
        <is>
          <t>Pass</t>
        </is>
      </c>
      <c r="E1" s="7" t="inlineStr">
        <is>
          <t>Fail</t>
        </is>
      </c>
      <c r="F1" s="7" t="inlineStr">
        <is>
          <t>Blocked</t>
        </is>
      </c>
      <c r="G1" s="7" t="inlineStr">
        <is>
          <t>Not in scope</t>
        </is>
      </c>
      <c r="H1" s="7" t="inlineStr">
        <is>
          <t>Pass rate (of run)</t>
        </is>
      </c>
    </row>
    <row r="2">
      <c r="A2" s="8" t="inlineStr">
        <is>
          <t>Prospecting</t>
        </is>
      </c>
      <c r="B2" s="8">
        <f>COUNTIF('Test cases'!$B:$B,A2)</f>
        <v/>
      </c>
      <c r="C2" s="8">
        <f>COUNTIFS('Test cases'!$B:$B,$A2,'Test cases'!$I:$I,"Not run")</f>
        <v/>
      </c>
      <c r="D2" s="8">
        <f>COUNTIFS('Test cases'!$B:$B,$A2,'Test cases'!$I:$I,"Pass")</f>
        <v/>
      </c>
      <c r="E2" s="8">
        <f>COUNTIFS('Test cases'!$B:$B,$A2,'Test cases'!$I:$I,"Fail")</f>
        <v/>
      </c>
      <c r="F2" s="8">
        <f>COUNTIFS('Test cases'!$B:$B,$A2,'Test cases'!$I:$I,"Blocked")</f>
        <v/>
      </c>
      <c r="G2" s="8">
        <f>COUNTIFS('Test cases'!$B:$B,$A2,'Test cases'!$I:$I,"Not in scope")</f>
        <v/>
      </c>
      <c r="H2" s="9">
        <f>IFERROR(D2/(D2+E2+F2),"")</f>
        <v/>
      </c>
    </row>
    <row r="3">
      <c r="A3" s="8" t="inlineStr">
        <is>
          <t>Account Scoring</t>
        </is>
      </c>
      <c r="B3" s="8">
        <f>COUNTIF('Test cases'!$B:$B,A3)</f>
        <v/>
      </c>
      <c r="C3" s="8">
        <f>COUNTIFS('Test cases'!$B:$B,$A3,'Test cases'!$I:$I,"Not run")</f>
        <v/>
      </c>
      <c r="D3" s="8">
        <f>COUNTIFS('Test cases'!$B:$B,$A3,'Test cases'!$I:$I,"Pass")</f>
        <v/>
      </c>
      <c r="E3" s="8">
        <f>COUNTIFS('Test cases'!$B:$B,$A3,'Test cases'!$I:$I,"Fail")</f>
        <v/>
      </c>
      <c r="F3" s="8">
        <f>COUNTIFS('Test cases'!$B:$B,$A3,'Test cases'!$I:$I,"Blocked")</f>
        <v/>
      </c>
      <c r="G3" s="8">
        <f>COUNTIFS('Test cases'!$B:$B,$A3,'Test cases'!$I:$I,"Not in scope")</f>
        <v/>
      </c>
      <c r="H3" s="9">
        <f>IFERROR(D3/(D3+E3+F3),"")</f>
        <v/>
      </c>
    </row>
    <row r="4">
      <c r="A4" s="8" t="inlineStr">
        <is>
          <t>Micro-segments &amp; NBA</t>
        </is>
      </c>
      <c r="B4" s="8">
        <f>COUNTIF('Test cases'!$B:$B,A4)</f>
        <v/>
      </c>
      <c r="C4" s="8">
        <f>COUNTIFS('Test cases'!$B:$B,$A4,'Test cases'!$I:$I,"Not run")</f>
        <v/>
      </c>
      <c r="D4" s="8">
        <f>COUNTIFS('Test cases'!$B:$B,$A4,'Test cases'!$I:$I,"Pass")</f>
        <v/>
      </c>
      <c r="E4" s="8">
        <f>COUNTIFS('Test cases'!$B:$B,$A4,'Test cases'!$I:$I,"Fail")</f>
        <v/>
      </c>
      <c r="F4" s="8">
        <f>COUNTIFS('Test cases'!$B:$B,$A4,'Test cases'!$I:$I,"Blocked")</f>
        <v/>
      </c>
      <c r="G4" s="8">
        <f>COUNTIFS('Test cases'!$B:$B,$A4,'Test cases'!$I:$I,"Not in scope")</f>
        <v/>
      </c>
      <c r="H4" s="9">
        <f>IFERROR(D4/(D4+E4+F4),"")</f>
        <v/>
      </c>
    </row>
    <row r="5">
      <c r="A5" s="8" t="inlineStr">
        <is>
          <t>For Review</t>
        </is>
      </c>
      <c r="B5" s="8">
        <f>COUNTIF('Test cases'!$B:$B,A5)</f>
        <v/>
      </c>
      <c r="C5" s="8">
        <f>COUNTIFS('Test cases'!$B:$B,$A5,'Test cases'!$I:$I,"Not run")</f>
        <v/>
      </c>
      <c r="D5" s="8">
        <f>COUNTIFS('Test cases'!$B:$B,$A5,'Test cases'!$I:$I,"Pass")</f>
        <v/>
      </c>
      <c r="E5" s="8">
        <f>COUNTIFS('Test cases'!$B:$B,$A5,'Test cases'!$I:$I,"Fail")</f>
        <v/>
      </c>
      <c r="F5" s="8">
        <f>COUNTIFS('Test cases'!$B:$B,$A5,'Test cases'!$I:$I,"Blocked")</f>
        <v/>
      </c>
      <c r="G5" s="8">
        <f>COUNTIFS('Test cases'!$B:$B,$A5,'Test cases'!$I:$I,"Not in scope")</f>
        <v/>
      </c>
      <c r="H5" s="9">
        <f>IFERROR(D5/(D5+E5+F5),"")</f>
        <v/>
      </c>
    </row>
    <row r="6">
      <c r="A6" s="8" t="inlineStr">
        <is>
          <t>Today</t>
        </is>
      </c>
      <c r="B6" s="8">
        <f>COUNTIF('Test cases'!$B:$B,A6)</f>
        <v/>
      </c>
      <c r="C6" s="8">
        <f>COUNTIFS('Test cases'!$B:$B,$A6,'Test cases'!$I:$I,"Not run")</f>
        <v/>
      </c>
      <c r="D6" s="8">
        <f>COUNTIFS('Test cases'!$B:$B,$A6,'Test cases'!$I:$I,"Pass")</f>
        <v/>
      </c>
      <c r="E6" s="8">
        <f>COUNTIFS('Test cases'!$B:$B,$A6,'Test cases'!$I:$I,"Fail")</f>
        <v/>
      </c>
      <c r="F6" s="8">
        <f>COUNTIFS('Test cases'!$B:$B,$A6,'Test cases'!$I:$I,"Blocked")</f>
        <v/>
      </c>
      <c r="G6" s="8">
        <f>COUNTIFS('Test cases'!$B:$B,$A6,'Test cases'!$I:$I,"Not in scope")</f>
        <v/>
      </c>
      <c r="H6" s="9">
        <f>IFERROR(D6/(D6+E6+F6),"")</f>
        <v/>
      </c>
    </row>
    <row r="7">
      <c r="A7" s="8" t="inlineStr">
        <is>
          <t>Analytics</t>
        </is>
      </c>
      <c r="B7" s="8">
        <f>COUNTIF('Test cases'!$B:$B,A7)</f>
        <v/>
      </c>
      <c r="C7" s="8">
        <f>COUNTIFS('Test cases'!$B:$B,$A7,'Test cases'!$I:$I,"Not run")</f>
        <v/>
      </c>
      <c r="D7" s="8">
        <f>COUNTIFS('Test cases'!$B:$B,$A7,'Test cases'!$I:$I,"Pass")</f>
        <v/>
      </c>
      <c r="E7" s="8">
        <f>COUNTIFS('Test cases'!$B:$B,$A7,'Test cases'!$I:$I,"Fail")</f>
        <v/>
      </c>
      <c r="F7" s="8">
        <f>COUNTIFS('Test cases'!$B:$B,$A7,'Test cases'!$I:$I,"Blocked")</f>
        <v/>
      </c>
      <c r="G7" s="8">
        <f>COUNTIFS('Test cases'!$B:$B,$A7,'Test cases'!$I:$I,"Not in scope")</f>
        <v/>
      </c>
      <c r="H7" s="9">
        <f>IFERROR(D7/(D7+E7+F7),"")</f>
        <v/>
      </c>
    </row>
    <row r="8">
      <c r="A8" s="8" t="inlineStr">
        <is>
          <t>Content library</t>
        </is>
      </c>
      <c r="B8" s="8">
        <f>COUNTIF('Test cases'!$B:$B,A8)</f>
        <v/>
      </c>
      <c r="C8" s="8">
        <f>COUNTIFS('Test cases'!$B:$B,$A8,'Test cases'!$I:$I,"Not run")</f>
        <v/>
      </c>
      <c r="D8" s="8">
        <f>COUNTIFS('Test cases'!$B:$B,$A8,'Test cases'!$I:$I,"Pass")</f>
        <v/>
      </c>
      <c r="E8" s="8">
        <f>COUNTIFS('Test cases'!$B:$B,$A8,'Test cases'!$I:$I,"Fail")</f>
        <v/>
      </c>
      <c r="F8" s="8">
        <f>COUNTIFS('Test cases'!$B:$B,$A8,'Test cases'!$I:$I,"Blocked")</f>
        <v/>
      </c>
      <c r="G8" s="8">
        <f>COUNTIFS('Test cases'!$B:$B,$A8,'Test cases'!$I:$I,"Not in scope")</f>
        <v/>
      </c>
      <c r="H8" s="9">
        <f>IFERROR(D8/(D8+E8+F8),"")</f>
        <v/>
      </c>
    </row>
    <row r="9">
      <c r="A9" s="8" t="inlineStr">
        <is>
          <t>Roles and visibility</t>
        </is>
      </c>
      <c r="B9" s="8">
        <f>COUNTIF('Test cases'!$B:$B,A9)</f>
        <v/>
      </c>
      <c r="C9" s="8">
        <f>COUNTIFS('Test cases'!$B:$B,$A9,'Test cases'!$I:$I,"Not run")</f>
        <v/>
      </c>
      <c r="D9" s="8">
        <f>COUNTIFS('Test cases'!$B:$B,$A9,'Test cases'!$I:$I,"Pass")</f>
        <v/>
      </c>
      <c r="E9" s="8">
        <f>COUNTIFS('Test cases'!$B:$B,$A9,'Test cases'!$I:$I,"Fail")</f>
        <v/>
      </c>
      <c r="F9" s="8">
        <f>COUNTIFS('Test cases'!$B:$B,$A9,'Test cases'!$I:$I,"Blocked")</f>
        <v/>
      </c>
      <c r="G9" s="8">
        <f>COUNTIFS('Test cases'!$B:$B,$A9,'Test cases'!$I:$I,"Not in scope")</f>
        <v/>
      </c>
      <c r="H9" s="9">
        <f>IFERROR(D9/(D9+E9+F9),"")</f>
        <v/>
      </c>
    </row>
    <row r="10">
      <c r="A10" s="10" t="inlineStr">
        <is>
          <t>Total</t>
        </is>
      </c>
      <c r="B10" s="10">
        <f>SUM(B2:B9)</f>
        <v/>
      </c>
      <c r="C10" s="10">
        <f>SUM(C2:C9)</f>
        <v/>
      </c>
      <c r="D10" s="10">
        <f>SUM(D2:D9)</f>
        <v/>
      </c>
      <c r="E10" s="10">
        <f>SUM(E2:E9)</f>
        <v/>
      </c>
      <c r="F10" s="10">
        <f>SUM(F2:F9)</f>
        <v/>
      </c>
      <c r="G10" s="10">
        <f>SUM(G2:G9)</f>
        <v/>
      </c>
      <c r="H10" s="11">
        <f>IFERROR(D10/(D10+E10+F10),"")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70" customWidth="1" min="3" max="3"/>
  </cols>
  <sheetData>
    <row r="1">
      <c r="A1" s="3" t="inlineStr">
        <is>
          <t>Set</t>
        </is>
      </c>
      <c r="B1" s="3" t="inlineStr">
        <is>
          <t>File</t>
        </is>
      </c>
      <c r="C1" s="3" t="inlineStr">
        <is>
          <t>What it is for</t>
        </is>
      </c>
    </row>
    <row r="2">
      <c r="A2" s="4" t="inlineStr">
        <is>
          <t>TS1</t>
        </is>
      </c>
      <c r="B2" s="4" t="inlineStr">
        <is>
          <t>TS1_End_to_end.xlsx</t>
        </is>
      </c>
      <c r="C2" s="4" t="inlineStr">
        <is>
          <t>The list carried through every module</t>
        </is>
      </c>
    </row>
    <row r="3">
      <c r="A3" s="4" t="inlineStr">
        <is>
          <t>TS2</t>
        </is>
      </c>
      <c r="B3" s="4" t="inlineStr">
        <is>
          <t>TS2_Prospecting_edge_cases.xlsx</t>
        </is>
      </c>
      <c r="C3" s="4" t="inlineStr">
        <is>
          <t>Prospecting data rules, one per row</t>
        </is>
      </c>
    </row>
    <row r="4">
      <c r="A4" s="4" t="inlineStr">
        <is>
          <t>TS3</t>
        </is>
      </c>
      <c r="B4" s="4" t="inlineStr">
        <is>
          <t>TS3_Signal_edge_cases.xlsx</t>
        </is>
      </c>
      <c r="C4" s="4" t="inlineStr">
        <is>
          <t>Signal rules, one per row (uses the TS1 list)</t>
        </is>
      </c>
    </row>
    <row r="5">
      <c r="A5" s="4" t="inlineStr">
        <is>
          <t>TS4</t>
        </is>
      </c>
      <c r="B5" s="4" t="inlineStr">
        <is>
          <t>TS4_Microsegments_from_file.xlsx</t>
        </is>
      </c>
      <c r="C5" s="4" t="inlineStr">
        <is>
          <t>Optional: the NBA "Upload a CSV" route for lists scored outside the POC</t>
        </is>
      </c>
    </row>
    <row r="6">
      <c r="A6" s="4" t="inlineStr">
        <is>
          <t>TS5</t>
        </is>
      </c>
      <c r="B6" s="4" t="inlineStr">
        <is>
          <t>TS5_Brand_guideline.md</t>
        </is>
      </c>
      <c r="C6" s="4" t="inlineStr">
        <is>
          <t>Brand rules read from a guideline</t>
        </is>
      </c>
    </row>
    <row r="7">
      <c r="A7" s="4" t="inlineStr">
        <is>
          <t>TS6</t>
        </is>
      </c>
      <c r="B7" s="4" t="inlineStr">
        <is>
          <t>TS6_Segment_boundaries.xlsx</t>
        </is>
      </c>
      <c r="C7" s="4" t="inlineStr">
        <is>
          <t>Which micro-segments form, fallbacks and exceptions</t>
        </is>
      </c>
    </row>
    <row r="8">
      <c r="A8" s="4" t="inlineStr">
        <is>
          <t>TS7</t>
        </is>
      </c>
      <c r="B8" s="4" t="inlineStr">
        <is>
          <t>TS7_Scoring_boundaries.xlsx</t>
        </is>
      </c>
      <c r="C8" s="4" t="inlineStr">
        <is>
          <t>Fit floor, rubric parts, tier cut-offs, decay, stacking, knock-out</t>
        </is>
      </c>
    </row>
    <row r="9">
      <c r="A9" s="4" t="inlineStr">
        <is>
          <t>TS8</t>
        </is>
      </c>
      <c r="B9" s="4" t="inlineStr">
        <is>
          <t>TS8_Contactability_and_channel.xlsx</t>
        </is>
      </c>
      <c r="C9" s="4" t="inlineStr">
        <is>
          <t>Channel choice and who cannot be reached</t>
        </is>
      </c>
    </row>
    <row r="10">
      <c r="A10" s="4" t="inlineStr">
        <is>
          <t>TS9</t>
        </is>
      </c>
      <c r="B10" s="4" t="inlineStr">
        <is>
          <t>TS9_For_Review_routing.xlsx</t>
        </is>
      </c>
      <c r="C10" s="4" t="inlineStr">
        <is>
          <t>Each For Review reason and due date</t>
        </is>
      </c>
    </row>
    <row r="11">
      <c r="A11" s="4" t="inlineStr">
        <is>
          <t>TS10</t>
        </is>
      </c>
      <c r="B11" s="4" t="inlineStr">
        <is>
          <t>TS10_Rep_ownership.xlsx</t>
        </is>
      </c>
      <c r="C11" s="4" t="inlineStr">
        <is>
          <t>Which role sees which item</t>
        </is>
      </c>
    </row>
    <row r="12">
      <c r="A12" s="4" t="inlineStr">
        <is>
          <t>TS11</t>
        </is>
      </c>
      <c r="B12" s="4" t="inlineStr">
        <is>
          <t>TS11_Score_date_answer_key.xlsx</t>
        </is>
      </c>
      <c r="C12" s="4" t="inlineStr">
        <is>
          <t>TS1 scored on five dates: signals fading</t>
        </is>
      </c>
    </row>
    <row r="13">
      <c r="A13" s="4" t="inlineStr">
        <is>
          <t>TS12</t>
        </is>
      </c>
      <c r="B13" s="4" t="inlineStr">
        <is>
          <t>TS12_Realistic_mixed_list.xlsx</t>
        </is>
      </c>
      <c r="C13" s="4" t="inlineStr">
        <is>
          <t>A realistic 60-account list for volume and robustness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2026-10-22T08:37:28Z</dcterms:created>
  <dcterms:modified xmlns:dcterms="http://purl.org/dc/terms/" xmlns:xsi="http://www.w3.org/2001/XMLSchema-instance" xsi:type="dcterms:W3CDTF">2026-10-22T08:37:28Z</dcterms:modified>
</cp:coreProperties>
</file>