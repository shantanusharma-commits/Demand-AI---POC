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Unit" sheetId="2" state="visible" r:id="rId2"/>
    <sheet name="Component" sheetId="3" state="visible" r:id="rId3"/>
    <sheet name="Smoke" sheetId="4" state="visible" r:id="rId4"/>
    <sheet name="UAT" sheetId="5" state="visible" r:id="rId5"/>
  </sheets>
  <definedNames>
    <definedName name="_xlnm._FilterDatabase" localSheetId="1" hidden="1">'Unit'!$A$3:$K$35</definedName>
    <definedName name="_xlnm._FilterDatabase" localSheetId="2" hidden="1">'Component'!$A$3:$K$36</definedName>
    <definedName name="_xlnm._FilterDatabase" localSheetId="3" hidden="1">'Smoke'!$A$3:$K$30</definedName>
    <definedName name="_xlnm._FilterDatabase" localSheetId="4" hidden="1">'UAT'!$A$3:$K$33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  <col width="30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1" t="inlineStr">
        <is>
          <t>Test cases for 10-prospecting.html (Lead discovery and research)</t>
        </is>
      </c>
    </row>
    <row r="2" ht="30" customHeight="1">
      <c r="A2" s="2" t="inlineStr">
        <is>
          <t>Test data: Lead_Research_Sample_Dataset.xlsx (7,498 lead rows, answer key in its Row key and Account key sheets). First run: 3 Oct 2026, headless Chromium, with the Excel library served locally. Timings depend on the machine; treat them as relative.</t>
        </is>
      </c>
    </row>
    <row r="4">
      <c r="A4" s="3" t="inlineStr">
        <is>
          <t>Test type</t>
        </is>
      </c>
      <c r="B4" s="3" t="inlineStr">
        <is>
          <t>What it covers</t>
        </is>
      </c>
      <c r="C4" s="3" t="inlineStr">
        <is>
          <t>Tooling</t>
        </is>
      </c>
      <c r="D4" s="3" t="inlineStr">
        <is>
          <t>When to run</t>
        </is>
      </c>
      <c r="E4" s="3" t="inlineStr">
        <is>
          <t>Cases</t>
        </is>
      </c>
      <c r="F4" s="3" t="inlineStr">
        <is>
          <t>Pass</t>
        </is>
      </c>
      <c r="G4" s="3" t="inlineStr">
        <is>
          <t>Fail</t>
        </is>
      </c>
      <c r="H4" s="3" t="inlineStr">
        <is>
          <t>Gap</t>
        </is>
      </c>
      <c r="I4" s="3" t="inlineStr">
        <is>
          <t>Not run</t>
        </is>
      </c>
    </row>
    <row r="5">
      <c r="A5" s="2" t="inlineStr">
        <is>
          <t>Unit</t>
        </is>
      </c>
      <c r="B5" s="2" t="inlineStr">
        <is>
          <t>Tests one function at a time, with no browser: the rules engine (demandai-engine.js) and the page's pure helpers.</t>
        </is>
      </c>
      <c r="C5" s="2" t="inlineStr">
        <is>
          <t>node --test (already in package.json); table-driven cases; the dataset's Row key as the oracle</t>
        </is>
      </c>
      <c r="D5" s="2" t="inlineStr">
        <is>
          <t>Every commit</t>
        </is>
      </c>
      <c r="E5" s="2">
        <f>COUNTA('Unit'!A4:A35)</f>
        <v/>
      </c>
      <c r="F5" s="2">
        <f>COUNTIF('Unit'!J4:J35,"Pass")</f>
        <v/>
      </c>
      <c r="G5" s="2">
        <f>COUNTIF('Unit'!J4:J35,"Fail")</f>
        <v/>
      </c>
      <c r="H5" s="2">
        <f>COUNTIF('Unit'!J4:J35,"Gap")</f>
        <v/>
      </c>
      <c r="I5" s="2">
        <f>COUNTIF('Unit'!J4:J35,"Not run")</f>
        <v/>
      </c>
    </row>
    <row r="6">
      <c r="A6" s="2" t="inlineStr">
        <is>
          <t>Component</t>
        </is>
      </c>
      <c r="B6" s="2" t="inlineStr">
        <is>
          <t>Tests one piece of the page (upload, checks pop-up, tables, filters, selection, save, saved lists, roles) in a real browser, with controlled input.</t>
        </is>
      </c>
      <c r="C6" s="2" t="inlineStr">
        <is>
          <t>Playwright with routes that serve the Excel library locally and block fonts</t>
        </is>
      </c>
      <c r="D6" s="2" t="inlineStr">
        <is>
          <t>Every pull request</t>
        </is>
      </c>
      <c r="E6" s="2">
        <f>COUNTA('Component'!A4:A36)</f>
        <v/>
      </c>
      <c r="F6" s="2">
        <f>COUNTIF('Component'!J4:J36,"Pass")</f>
        <v/>
      </c>
      <c r="G6" s="2">
        <f>COUNTIF('Component'!J4:J36,"Fail")</f>
        <v/>
      </c>
      <c r="H6" s="2">
        <f>COUNTIF('Component'!J4:J36,"Gap")</f>
        <v/>
      </c>
      <c r="I6" s="2">
        <f>COUNTIF('Component'!J4:J36,"Not run")</f>
        <v/>
      </c>
    </row>
    <row r="7">
      <c r="A7" s="2" t="inlineStr">
        <is>
          <t>Smoke</t>
        </is>
      </c>
      <c r="B7" s="2" t="inlineStr">
        <is>
          <t>A short, fast run over the critical path to decide whether a build is worth testing further. Stop at the first failure.</t>
        </is>
      </c>
      <c r="C7" s="2" t="inlineStr">
        <is>
          <t>Playwright, one spec, under 2 minutes</t>
        </is>
      </c>
      <c r="D7" s="2" t="inlineStr">
        <is>
          <t>Every deploy</t>
        </is>
      </c>
      <c r="E7" s="2">
        <f>COUNTA('Smoke'!A4:A30)</f>
        <v/>
      </c>
      <c r="F7" s="2">
        <f>COUNTIF('Smoke'!J4:J30,"Pass")</f>
        <v/>
      </c>
      <c r="G7" s="2">
        <f>COUNTIF('Smoke'!J4:J30,"Fail")</f>
        <v/>
      </c>
      <c r="H7" s="2">
        <f>COUNTIF('Smoke'!J4:J30,"Gap")</f>
        <v/>
      </c>
      <c r="I7" s="2">
        <f>COUNTIF('Smoke'!J4:J30,"Not run")</f>
        <v/>
      </c>
    </row>
    <row r="8">
      <c r="A8" s="2" t="inlineStr">
        <is>
          <t>User acceptance</t>
        </is>
      </c>
      <c r="B8" s="2" t="inlineStr">
        <is>
          <t>Business scenarios from the Lead discovery and research flow (3.1–3.6), run by sales ops or the client with the generated dataset and its answer key.</t>
        </is>
      </c>
      <c r="C8" s="2" t="inlineStr">
        <is>
          <t>Manual, with the Row key and Account key sheets as the expected results; timed where performance matters</t>
        </is>
      </c>
      <c r="D8" s="2" t="inlineStr">
        <is>
          <t>Before each client milestone</t>
        </is>
      </c>
      <c r="E8" s="2">
        <f>COUNTA('UAT'!A4:A33)</f>
        <v/>
      </c>
      <c r="F8" s="2">
        <f>COUNTIF('UAT'!J4:J33,"Pass")</f>
        <v/>
      </c>
      <c r="G8" s="2">
        <f>COUNTIF('UAT'!J4:J33,"Fail")</f>
        <v/>
      </c>
      <c r="H8" s="2">
        <f>COUNTIF('UAT'!J4:J33,"Gap")</f>
        <v/>
      </c>
      <c r="I8" s="2">
        <f>COUNTIF('UAT'!J4:J33,"Not run")</f>
        <v/>
      </c>
    </row>
    <row r="9">
      <c r="A9" s="4" t="inlineStr">
        <is>
          <t>Total</t>
        </is>
      </c>
      <c r="E9" s="4">
        <f>SUM(E5:E8)</f>
        <v/>
      </c>
      <c r="F9" s="4">
        <f>SUM(F5:F8)</f>
        <v/>
      </c>
      <c r="G9" s="4">
        <f>SUM(G5:G8)</f>
        <v/>
      </c>
      <c r="H9" s="4">
        <f>SUM(H5:H8)</f>
        <v/>
      </c>
      <c r="I9" s="4">
        <f>SUM(I5:I8)</f>
        <v/>
      </c>
    </row>
    <row r="11">
      <c r="A11" s="4" t="inlineStr">
        <is>
          <t>Status key</t>
        </is>
      </c>
    </row>
    <row r="12">
      <c r="A12" s="5" t="inlineStr">
        <is>
          <t>Pass</t>
        </is>
      </c>
      <c r="B12" s="6" t="inlineStr">
        <is>
          <t>Behaved as expected</t>
        </is>
      </c>
    </row>
    <row r="13">
      <c r="A13" s="7" t="inlineStr">
        <is>
          <t>Fail</t>
        </is>
      </c>
      <c r="B13" s="6" t="inlineStr">
        <is>
          <t>A defect: the page or rule does not do what it is meant to</t>
        </is>
      </c>
    </row>
    <row r="14">
      <c r="A14" s="8" t="inlineStr">
        <is>
          <t>Gap</t>
        </is>
      </c>
      <c r="B14" s="6" t="inlineStr">
        <is>
          <t>Works as coded, but misses a business need from the PDF flow or the dataset</t>
        </is>
      </c>
    </row>
    <row r="15">
      <c r="A15" s="9" t="inlineStr">
        <is>
          <t>Not run</t>
        </is>
      </c>
      <c r="B15" s="6" t="inlineStr">
        <is>
          <t>Written, not yet executed</t>
        </is>
      </c>
    </row>
    <row r="17">
      <c r="A17" s="1" t="inlineStr">
        <is>
          <t>What the first run tells us</t>
        </is>
      </c>
    </row>
    <row r="18">
      <c r="A18" s="3" t="inlineStr">
        <is>
          <t>Inference</t>
        </is>
      </c>
      <c r="B18" s="3" t="inlineStr">
        <is>
          <t>Evidence and recommendation</t>
        </is>
      </c>
      <c r="C18" s="3" t="inlineStr">
        <is>
          <t>Test cases</t>
        </is>
      </c>
    </row>
    <row r="19" ht="75" customHeight="1">
      <c r="A19" s="10" t="inlineStr">
        <is>
          <t>Engine is fast; the page is the bottleneck</t>
        </is>
      </c>
      <c r="B19" s="2" t="inlineStr">
        <is>
          <t>The rules engine processes 7,498 rows in 0.18 s and 75k rows in 1.2 s. The page takes 7.3 s to show the list and builds 275,831 DOM nodes, and every keystroke in search re-renders all rows (2.5 s of script). Paginate or virtualise the tables and debounce search before the client's real file arrives.</t>
        </is>
      </c>
    </row>
    <row r="20" ht="75" customHeight="1">
      <c r="A20" s="10" t="inlineStr">
        <is>
          <t>The full list cannot be saved or sent to Scoring</t>
        </is>
      </c>
      <c r="B20" s="2" t="inlineStr">
        <is>
          <t>A screened list from this file is 8.1 MB; browser storage holds about 5 MB, so Save fails and the message wrongly blames browser settings. Any file over about 4,000 rows will hit this. Store lists in IndexedDB or on the server, and say clearly when a list is too large.</t>
        </is>
      </c>
    </row>
    <row r="21" ht="75" customHeight="1">
      <c r="A21" s="10" t="inlineStr">
        <is>
          <t>Validation rules miss real-world mess</t>
        </is>
      </c>
      <c r="B21" s="2" t="inlineStr">
        <is>
          <t>Malformed-looking emails (double dots, trailing dot, mailto:), webmail and role mailboxes pass; country codes and spelling variants knock in-region accounts out; alias-email duplicates and company-name variants slip through. The dataset's Row key lists every affected row, so each fix can be checked by re-running the same file.</t>
        </is>
      </c>
    </row>
    <row r="22" ht="75" customHeight="1">
      <c r="A22" s="10" t="inlineStr">
        <is>
          <t>Persona and classification rules are too narrow</t>
        </is>
      </c>
      <c r="B22" s="2" t="inlineStr">
        <is>
          <t>41% of contacts get no persona because "Instrument Engineer" doesn't match "instrumentation"; 59% of accounts need review because unmapped industries fall to "Other". Expect the AI classifier and a wider persona list to carry most of the load.</t>
        </is>
      </c>
    </row>
    <row r="23" ht="75" customHeight="1">
      <c r="A23" s="10" t="inlineStr">
        <is>
          <t>Parts of the PDF flow are not on this page yet</t>
        </is>
      </c>
      <c r="B23" s="2" t="inlineStr">
        <is>
          <t>There is no downloadable validation report for the client (3.2), no D1–D6 codes shown per issue, and no readiness go/no-go (3.3). Owner email doesn't limit what a rep sees.</t>
        </is>
      </c>
    </row>
    <row r="24" ht="75" customHeight="1">
      <c r="A24" s="10" t="inlineStr">
        <is>
          <t>What works well</t>
        </is>
      </c>
      <c r="B24" s="2" t="inlineStr">
        <is>
          <t>Every count on screen matches the engine; all missing-field, malformed-email, exact-duplicate, opt-out and consent cases in the dataset were caught; HTML in the file is escaped; the right sheet is picked from a 9-sheet workbook; and small lists save and reload.</t>
        </is>
      </c>
    </row>
    <row r="25" ht="75" customHeight="1">
      <c r="A25" s="10" t="inlineStr">
        <is>
          <t>Accessibility needs a pass</t>
        </is>
      </c>
      <c r="B25" s="2" t="inlineStr">
        <is>
          <t>The upload can't be reached by keyboard and the tabs and filters are clickable &lt;div&gt;s. Run axe-core in the component suite.</t>
        </is>
      </c>
    </row>
  </sheetData>
  <mergeCells count="8">
    <mergeCell ref="A2:F2"/>
    <mergeCell ref="B19:D19"/>
    <mergeCell ref="B23:D23"/>
    <mergeCell ref="B22:D22"/>
    <mergeCell ref="B21:D21"/>
    <mergeCell ref="B25:D25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30" customWidth="1" min="3" max="3"/>
    <col width="24" customWidth="1" min="4" max="4"/>
    <col width="40" customWidth="1" min="5" max="5"/>
    <col width="34" customWidth="1" min="6" max="6"/>
    <col width="48" customWidth="1" min="7" max="7"/>
    <col width="10" customWidth="1" min="8" max="8"/>
    <col width="30" customWidth="1" min="9" max="9"/>
    <col width="14" customWidth="1" min="10" max="10"/>
    <col width="56" customWidth="1" min="11" max="11"/>
  </cols>
  <sheetData>
    <row r="1">
      <c r="A1" s="4" t="inlineStr">
        <is>
          <t>Unit tests · Tests one function at a time, with no browser: the rules engine (demandai-engine.js) and the page's pure helpers.</t>
        </is>
      </c>
    </row>
    <row r="3">
      <c r="A3" s="3" t="inlineStr">
        <is>
          <t>ID</t>
        </is>
      </c>
      <c r="B3" s="3" t="inlineStr">
        <is>
          <t>Test case</t>
        </is>
      </c>
      <c r="C3" s="3" t="inlineStr">
        <is>
          <t>Function / component under test</t>
        </is>
      </c>
      <c r="D3" s="3" t="inlineStr">
        <is>
          <t>Aspect</t>
        </is>
      </c>
      <c r="E3" s="3" t="inlineStr">
        <is>
          <t>Preconditions and test data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How to automate</t>
        </is>
      </c>
      <c r="J3" s="3" t="inlineStr">
        <is>
          <t>First run (3 Oct 2026)</t>
        </is>
      </c>
      <c r="K3" s="3" t="inlineStr">
        <is>
          <t>Observed</t>
        </is>
      </c>
    </row>
    <row r="4">
      <c r="A4" s="2" t="inlineStr">
        <is>
          <t>UT-01</t>
        </is>
      </c>
      <c r="B4" s="2" t="inlineStr">
        <is>
          <t>CSV parser handles quotes, embedded commas, escaped quotes, line breaks and a BOM</t>
        </is>
      </c>
      <c r="C4" s="2" t="inlineStr">
        <is>
          <t>parseCSV()</t>
        </is>
      </c>
      <c r="D4" s="2" t="inlineStr">
        <is>
          <t>Functional</t>
        </is>
      </c>
      <c r="E4" s="2" t="inlineStr">
        <is>
          <t>String: BOM + a,"b,c","d ""q""" CRLF 1,"x\ny",3</t>
        </is>
      </c>
      <c r="F4" s="2" t="inlineStr">
        <is>
          <t>Call DemandAI.parseCSV(text)</t>
        </is>
      </c>
      <c r="G4" s="2" t="inlineStr">
        <is>
          <t>Two rows; "b,c" kept as one cell; d "q" unescaped; the line break stays inside the cell; BOM stripped</t>
        </is>
      </c>
      <c r="H4" s="2" t="inlineStr">
        <is>
          <t>High</t>
        </is>
      </c>
      <c r="I4" s="2" t="inlineStr">
        <is>
          <t>node:test, no browser</t>
        </is>
      </c>
      <c r="J4" s="11" t="inlineStr">
        <is>
          <t>Pass</t>
        </is>
      </c>
      <c r="K4" s="2" t="inlineStr">
        <is>
          <t>Parsed exactly as expected</t>
        </is>
      </c>
    </row>
    <row r="5">
      <c r="A5" s="2" t="inlineStr">
        <is>
          <t>UT-02</t>
        </is>
      </c>
      <c r="B5" s="2" t="inlineStr">
        <is>
          <t>CSV writer round-trips through the parser</t>
        </is>
      </c>
      <c r="C5" s="2" t="inlineStr">
        <is>
          <t>toCSV() + parseCSV()</t>
        </is>
      </c>
      <c r="D5" s="2" t="inlineStr">
        <is>
          <t>Functional</t>
        </is>
      </c>
      <c r="E5" s="2" t="inlineStr">
        <is>
          <t>Cells with a comma, a quote and a line break</t>
        </is>
      </c>
      <c r="F5" s="2" t="inlineStr">
        <is>
          <t>parseCSV(toCSV(rows))</t>
        </is>
      </c>
      <c r="G5" s="2" t="inlineStr">
        <is>
          <t>Output equals input</t>
        </is>
      </c>
      <c r="H5" s="2" t="inlineStr">
        <is>
          <t>Medium</t>
        </is>
      </c>
      <c r="I5" s="2" t="inlineStr">
        <is>
          <t>node:test, property-based (fast-check) for random strings</t>
        </is>
      </c>
      <c r="J5" s="11" t="inlineStr">
        <is>
          <t>Pass</t>
        </is>
      </c>
      <c r="K5" s="2" t="inlineStr">
        <is>
          <t>Round-trip identical</t>
        </is>
      </c>
    </row>
    <row r="6">
      <c r="A6" s="2" t="inlineStr">
        <is>
          <t>UT-03</t>
        </is>
      </c>
      <c r="B6" s="2" t="inlineStr">
        <is>
          <t>Header row is found under the title row, and the format-hint row is skipped</t>
        </is>
      </c>
      <c r="C6" s="2" t="inlineStr">
        <is>
          <t>readTable()</t>
        </is>
      </c>
      <c r="D6" s="2" t="inlineStr">
        <is>
          <t>Functional</t>
        </is>
      </c>
      <c r="E6" s="2" t="inlineStr">
        <is>
          <t>Grid: title row, header row, "Text*" hint row, 1 data row</t>
        </is>
      </c>
      <c r="F6" s="2" t="inlineStr">
        <is>
          <t>processLeads(grid)</t>
        </is>
      </c>
      <c r="G6" s="2" t="inlineStr">
        <is>
          <t>rowsRead = 1; the hint row is reported as info, not loaded as a contact</t>
        </is>
      </c>
      <c r="H6" s="2" t="inlineStr">
        <is>
          <t>High</t>
        </is>
      </c>
      <c r="I6" s="2" t="inlineStr">
        <is>
          <t>node:test</t>
        </is>
      </c>
      <c r="J6" s="11" t="inlineStr">
        <is>
          <t>Pass</t>
        </is>
      </c>
      <c r="K6" s="2" t="inlineStr">
        <is>
          <t>rowsRead = 1</t>
        </is>
      </c>
    </row>
    <row r="7">
      <c r="A7" s="2" t="inlineStr">
        <is>
          <t>UT-04</t>
        </is>
      </c>
      <c r="B7" s="2" t="inlineStr">
        <is>
          <t>Header names are matched regardless of case, spaces, stars and hyphens</t>
        </is>
      </c>
      <c r="C7" s="2" t="inlineStr">
        <is>
          <t>normHeader()</t>
        </is>
      </c>
      <c r="D7" s="2" t="inlineStr">
        <is>
          <t>Functional</t>
        </is>
      </c>
      <c r="E7" s="2" t="inlineStr">
        <is>
          <t>Headers written " FIRST NAME* ", "Company-Name"</t>
        </is>
      </c>
      <c r="F7" s="2" t="inlineStr">
        <is>
          <t>processLeads(grid)</t>
        </is>
      </c>
      <c r="G7" s="2" t="inlineStr">
        <is>
          <t>All columns recognised; no "missing column" issue</t>
        </is>
      </c>
      <c r="H7" s="2" t="inlineStr">
        <is>
          <t>High</t>
        </is>
      </c>
      <c r="I7" s="2" t="inlineStr">
        <is>
          <t>node:test, table-driven</t>
        </is>
      </c>
      <c r="J7" s="11" t="inlineStr">
        <is>
          <t>Pass</t>
        </is>
      </c>
      <c r="K7" s="2" t="inlineStr">
        <is>
          <t>Contact loaded, no column issues</t>
        </is>
      </c>
    </row>
    <row r="8">
      <c r="A8" s="2" t="inlineStr">
        <is>
          <t>UT-05</t>
        </is>
      </c>
      <c r="B8" s="2" t="inlineStr">
        <is>
          <t>A missing required column is reported once, against the header row</t>
        </is>
      </c>
      <c r="C8" s="2" t="inlineStr">
        <is>
          <t>readTable()</t>
        </is>
      </c>
      <c r="D8" s="2" t="inlineStr">
        <is>
          <t>Functional</t>
        </is>
      </c>
      <c r="E8" s="2" t="inlineStr">
        <is>
          <t>Template without owner_email</t>
        </is>
      </c>
      <c r="F8" s="2" t="inlineStr">
        <is>
          <t>processLeads(grid)</t>
        </is>
      </c>
      <c r="G8" s="2" t="inlineStr">
        <is>
          <t>Issue "Required column "owner_email" is missing" (flag); rows still processed</t>
        </is>
      </c>
      <c r="H8" s="2" t="inlineStr">
        <is>
          <t>High</t>
        </is>
      </c>
      <c r="I8" s="2" t="inlineStr">
        <is>
          <t>node:test</t>
        </is>
      </c>
      <c r="J8" s="11" t="inlineStr">
        <is>
          <t>Pass</t>
        </is>
      </c>
      <c r="K8" s="2" t="inlineStr">
        <is>
          <t>Issue raised as expected</t>
        </is>
      </c>
    </row>
    <row r="9">
      <c r="A9" s="2" t="inlineStr">
        <is>
          <t>UT-06</t>
        </is>
      </c>
      <c r="B9" s="2" t="inlineStr">
        <is>
          <t>A file without the anchor column (company_name) stops processing</t>
        </is>
      </c>
      <c r="C9" s="2" t="inlineStr">
        <is>
          <t>readTable()</t>
        </is>
      </c>
      <c r="D9" s="2" t="inlineStr">
        <is>
          <t>Functional</t>
        </is>
      </c>
      <c r="E9" s="2" t="inlineStr">
        <is>
          <t>Grid [["a","b"],["1","2"]]</t>
        </is>
      </c>
      <c r="F9" s="2" t="inlineStr">
        <is>
          <t>processLeads(grid)</t>
        </is>
      </c>
      <c r="G9" s="2" t="inlineStr">
        <is>
          <t>One stop issue: header row not found; no contacts</t>
        </is>
      </c>
      <c r="H9" s="2" t="inlineStr">
        <is>
          <t>High</t>
        </is>
      </c>
      <c r="I9" s="2" t="inlineStr">
        <is>
          <t>node:test</t>
        </is>
      </c>
      <c r="J9" s="11" t="inlineStr">
        <is>
          <t>Pass</t>
        </is>
      </c>
      <c r="K9" s="2" t="inlineStr">
        <is>
          <t>Single stop issue</t>
        </is>
      </c>
    </row>
    <row r="10">
      <c r="A10" s="2" t="inlineStr">
        <is>
          <t>UT-07</t>
        </is>
      </c>
      <c r="B10" s="2" t="inlineStr">
        <is>
          <t>Extra columns are ignored and reported as info</t>
        </is>
      </c>
      <c r="C10" s="2" t="inlineStr">
        <is>
          <t>readTable()</t>
        </is>
      </c>
      <c r="D10" s="2" t="inlineStr">
        <is>
          <t>Functional</t>
        </is>
      </c>
      <c r="E10" s="2" t="inlineStr">
        <is>
          <t>Template + "notes" column</t>
        </is>
      </c>
      <c r="F10" s="2" t="inlineStr">
        <is>
          <t>processLeads(grid)</t>
        </is>
      </c>
      <c r="G10" s="2" t="inlineStr">
        <is>
          <t>"Column "notes" isn't in the template", severity info</t>
        </is>
      </c>
      <c r="H10" s="2" t="inlineStr">
        <is>
          <t>Low</t>
        </is>
      </c>
      <c r="I10" s="2" t="inlineStr">
        <is>
          <t>node:test</t>
        </is>
      </c>
      <c r="J10" s="11" t="inlineStr">
        <is>
          <t>Pass</t>
        </is>
      </c>
      <c r="K10" s="2" t="inlineStr">
        <is>
          <t>Info issue raised</t>
        </is>
      </c>
    </row>
    <row r="11">
      <c r="A11" s="2" t="inlineStr">
        <is>
          <t>UT-08</t>
        </is>
      </c>
      <c r="B11" s="2" t="inlineStr">
        <is>
          <t>Y/N parsing accepts Y, N, Yes, No in any case and with spaces; rejects TRUE, 1, X</t>
        </is>
      </c>
      <c r="C11" s="2" t="inlineStr">
        <is>
          <t>yesNo()</t>
        </is>
      </c>
      <c r="D11" s="2" t="inlineStr">
        <is>
          <t>Functional</t>
        </is>
      </c>
      <c r="E11" s="2" t="inlineStr">
        <is>
          <t>opt_out = Yes, n, TRUE, blank, " y "</t>
        </is>
      </c>
      <c r="F11" s="2" t="inlineStr">
        <is>
          <t>processLeads per value; read optOutUnknown</t>
        </is>
      </c>
      <c r="G11" s="2" t="inlineStr">
        <is>
          <t>Yes/n/" y " accepted; TRUE and blank make the opt-out unknown (not contactable)</t>
        </is>
      </c>
      <c r="H11" s="2" t="inlineStr">
        <is>
          <t>High</t>
        </is>
      </c>
      <c r="I11" s="2" t="inlineStr">
        <is>
          <t>node:test, table-driven</t>
        </is>
      </c>
      <c r="J11" s="11" t="inlineStr">
        <is>
          <t>Pass</t>
        </is>
      </c>
      <c r="K11" s="2" t="inlineStr">
        <is>
          <t>[false, false, true, true, false] as expected</t>
        </is>
      </c>
    </row>
    <row r="12">
      <c r="A12" s="2" t="inlineStr">
        <is>
          <t>UT-09</t>
        </is>
      </c>
      <c r="B12" s="2" t="inlineStr">
        <is>
          <t>Numbers with $, commas or "USD" are read and flagged; text numbers are rejected</t>
        </is>
      </c>
      <c r="C12" s="2" t="inlineStr">
        <is>
          <t>parseNumber()</t>
        </is>
      </c>
      <c r="D12" s="2" t="inlineStr">
        <is>
          <t>Functional</t>
        </is>
      </c>
      <c r="E12" s="2" t="inlineStr">
        <is>
          <t>annual_revenue_usd = "$2,400,000,000" and "2.4B"</t>
        </is>
      </c>
      <c r="F12" s="2" t="inlineStr">
        <is>
          <t>processLeads</t>
        </is>
      </c>
      <c r="G12" s="2" t="inlineStr">
        <is>
          <t>$2,400,000,000 → 2400000000 with a reformat flag; "2.4B" → "isn't a number", treated as blank</t>
        </is>
      </c>
      <c r="H12" s="2" t="inlineStr">
        <is>
          <t>High</t>
        </is>
      </c>
      <c r="I12" s="2" t="inlineStr">
        <is>
          <t>node:test</t>
        </is>
      </c>
      <c r="J12" s="11" t="inlineStr">
        <is>
          <t>Pass</t>
        </is>
      </c>
      <c r="K12" s="2" t="inlineStr">
        <is>
          <t>Both behave as specified</t>
        </is>
      </c>
    </row>
    <row r="13">
      <c r="A13" s="2" t="inlineStr">
        <is>
          <t>UT-10</t>
        </is>
      </c>
      <c r="B13" s="2" t="inlineStr">
        <is>
          <t>Malformed emails are rejected (no @, two @, no TLD, space, placeholder)</t>
        </is>
      </c>
      <c r="C13" s="2" t="inlineStr">
        <is>
          <t>EMAIL_RE</t>
        </is>
      </c>
      <c r="D13" s="2" t="inlineStr">
        <is>
          <t>Functional</t>
        </is>
      </c>
      <c r="E13" s="2" t="inlineStr">
        <is>
          <t>Lead_Research_Sample_Dataset.xlsx: Row key cases EM-NO-AT, EM-DOUBLE-AT, EM-NO-TLD, EM-SPACE, EM-PLACEHOLDER</t>
        </is>
      </c>
      <c r="F13" s="2" t="inlineStr">
        <is>
          <t>processLeads on each value</t>
        </is>
      </c>
      <c r="G13" s="2" t="inlineStr">
        <is>
          <t>Each flagged "malformed" (D3); email not used</t>
        </is>
      </c>
      <c r="H13" s="2" t="inlineStr">
        <is>
          <t>High</t>
        </is>
      </c>
      <c r="I13" s="2" t="inlineStr">
        <is>
          <t>node:test over the Row key rows</t>
        </is>
      </c>
      <c r="J13" s="11" t="inlineStr">
        <is>
          <t>Pass</t>
        </is>
      </c>
      <c r="K13" s="2" t="inlineStr">
        <is>
          <t>195 of 195 dataset rows flagged</t>
        </is>
      </c>
    </row>
    <row r="14">
      <c r="A14" s="2" t="inlineStr">
        <is>
          <t>UT-11</t>
        </is>
      </c>
      <c r="B14" s="2" t="inlineStr">
        <is>
          <t>Emails that pass the regex but are invalid: double dots, trailing dot, mailto:, angle brackets</t>
        </is>
      </c>
      <c r="C14" s="2" t="inlineStr">
        <is>
          <t>EMAIL_RE</t>
        </is>
      </c>
      <c r="D14" s="2" t="inlineStr">
        <is>
          <t>Functional</t>
        </is>
      </c>
      <c r="E14" s="2" t="inlineStr">
        <is>
          <t>a..b@nw..com, a@nw.com., mailto:a@nw.com</t>
        </is>
      </c>
      <c r="F14" s="2" t="inlineStr">
        <is>
          <t>processLeads on each value</t>
        </is>
      </c>
      <c r="G14" s="2" t="inlineStr">
        <is>
          <t>Each should be flagged malformed</t>
        </is>
      </c>
      <c r="H14" s="2" t="inlineStr">
        <is>
          <t>High</t>
        </is>
      </c>
      <c r="I14" s="2" t="inlineStr">
        <is>
          <t>node:test</t>
        </is>
      </c>
      <c r="J14" s="12" t="inlineStr">
        <is>
          <t>Fail</t>
        </is>
      </c>
      <c r="K14" s="2" t="inlineStr">
        <is>
          <t>All three accepted as valid emails (only 48 of 95 dataset rows flagged, and those only for other reasons)</t>
        </is>
      </c>
    </row>
    <row r="15">
      <c r="A15" s="2" t="inlineStr">
        <is>
          <t>UT-12</t>
        </is>
      </c>
      <c r="B15" s="2" t="inlineStr">
        <is>
          <t>LinkedIn URL must be a profile URL</t>
        </is>
      </c>
      <c r="C15" s="2" t="inlineStr">
        <is>
          <t>LINKEDIN_RE</t>
        </is>
      </c>
      <c r="D15" s="2" t="inlineStr">
        <is>
          <t>Functional</t>
        </is>
      </c>
      <c r="E15" s="2" t="inlineStr">
        <is>
          <t>company page, Sales Navigator URL, search URL, bare text</t>
        </is>
      </c>
      <c r="F15" s="2" t="inlineStr">
        <is>
          <t>processLeads on each value</t>
        </is>
      </c>
      <c r="G15" s="2" t="inlineStr">
        <is>
          <t>Each flagged "isn't a profile URL"; LinkedIn not used</t>
        </is>
      </c>
      <c r="H15" s="2" t="inlineStr">
        <is>
          <t>Medium</t>
        </is>
      </c>
      <c r="I15" s="2" t="inlineStr">
        <is>
          <t>node:test</t>
        </is>
      </c>
      <c r="J15" s="11" t="inlineStr">
        <is>
          <t>Pass</t>
        </is>
      </c>
      <c r="K15" s="2" t="inlineStr">
        <is>
          <t>70 of 70 dataset rows flagged</t>
        </is>
      </c>
    </row>
    <row r="16">
      <c r="A16" s="2" t="inlineStr">
        <is>
          <t>UT-13</t>
        </is>
      </c>
      <c r="B16" s="2" t="inlineStr">
        <is>
          <t>Duplicate by email is case- and space-insensitive</t>
        </is>
      </c>
      <c r="C16" s="2" t="inlineStr">
        <is>
          <t>processLeads() dedupe</t>
        </is>
      </c>
      <c r="D16" s="2" t="inlineStr">
        <is>
          <t>Functional</t>
        </is>
      </c>
      <c r="E16" s="2" t="inlineStr">
        <is>
          <t>Same email, second row in upper case</t>
        </is>
      </c>
      <c r="F16" s="2" t="inlineStr">
        <is>
          <t>processLeads</t>
        </is>
      </c>
      <c r="G16" s="2" t="inlineStr">
        <is>
          <t>Second row merged (D5) into the first</t>
        </is>
      </c>
      <c r="H16" s="2" t="inlineStr">
        <is>
          <t>High</t>
        </is>
      </c>
      <c r="I16" s="2" t="inlineStr">
        <is>
          <t>node:test</t>
        </is>
      </c>
      <c r="J16" s="11" t="inlineStr">
        <is>
          <t>Pass</t>
        </is>
      </c>
      <c r="K16" s="2" t="inlineStr">
        <is>
          <t>merged = 1; 80 of 80 dataset rows</t>
        </is>
      </c>
    </row>
    <row r="17">
      <c r="A17" s="2" t="inlineStr">
        <is>
          <t>UT-14</t>
        </is>
      </c>
      <c r="B17" s="2" t="inlineStr">
        <is>
          <t>Duplicate by LinkedIn ignores http/https, www, trailing slash and query string</t>
        </is>
      </c>
      <c r="C17" s="2" t="inlineStr">
        <is>
          <t>normLinkedIn()</t>
        </is>
      </c>
      <c r="D17" s="2" t="inlineStr">
        <is>
          <t>Functional</t>
        </is>
      </c>
      <c r="E17" s="2" t="inlineStr">
        <is>
          <t>https://www.linkedin.com/in/aditi vs http://linkedin.com/in/aditi/</t>
        </is>
      </c>
      <c r="F17" s="2" t="inlineStr">
        <is>
          <t>processLeads</t>
        </is>
      </c>
      <c r="G17" s="2" t="inlineStr">
        <is>
          <t>Merged (D5)</t>
        </is>
      </c>
      <c r="H17" s="2" t="inlineStr">
        <is>
          <t>High</t>
        </is>
      </c>
      <c r="I17" s="2" t="inlineStr">
        <is>
          <t>node:test</t>
        </is>
      </c>
      <c r="J17" s="11" t="inlineStr">
        <is>
          <t>Pass</t>
        </is>
      </c>
      <c r="K17" s="2" t="inlineStr">
        <is>
          <t>merged = 1</t>
        </is>
      </c>
    </row>
    <row r="18">
      <c r="A18" s="2" t="inlineStr">
        <is>
          <t>UT-15</t>
        </is>
      </c>
      <c r="B18" s="2" t="inlineStr">
        <is>
          <t>Duplicate by LinkedIn on a country subdomain (sg.linkedin.com)</t>
        </is>
      </c>
      <c r="C18" s="2" t="inlineStr">
        <is>
          <t>normLinkedIn()</t>
        </is>
      </c>
      <c r="D18" s="2" t="inlineStr">
        <is>
          <t>Functional</t>
        </is>
      </c>
      <c r="E18" s="2" t="inlineStr">
        <is>
          <t>www.linkedin.com/in/aditi vs sg.linkedin.com/in/aditi</t>
        </is>
      </c>
      <c r="F18" s="2" t="inlineStr">
        <is>
          <t>processLeads</t>
        </is>
      </c>
      <c r="G18" s="2" t="inlineStr">
        <is>
          <t>Merged (D5)</t>
        </is>
      </c>
      <c r="H18" s="2" t="inlineStr">
        <is>
          <t>Medium</t>
        </is>
      </c>
      <c r="I18" s="2" t="inlineStr">
        <is>
          <t>node:test</t>
        </is>
      </c>
      <c r="J18" s="12" t="inlineStr">
        <is>
          <t>Fail</t>
        </is>
      </c>
      <c r="K18" s="2" t="inlineStr">
        <is>
          <t>Not merged: counted as two people (11 of 70 dataset LinkedIn duplicates missed)</t>
        </is>
      </c>
    </row>
    <row r="19">
      <c r="A19" s="2" t="inlineStr">
        <is>
          <t>UT-16</t>
        </is>
      </c>
      <c r="B19" s="2" t="inlineStr">
        <is>
          <t>A merged duplicate fills blanks on the first row</t>
        </is>
      </c>
      <c r="C19" s="2" t="inlineStr">
        <is>
          <t>processLeads() merge</t>
        </is>
      </c>
      <c r="D19" s="2" t="inlineStr">
        <is>
          <t>Functional</t>
        </is>
      </c>
      <c r="E19" s="2" t="inlineStr">
        <is>
          <t>Row 1 seniority blank, repeat has "Director"</t>
        </is>
      </c>
      <c r="F19" s="2" t="inlineStr">
        <is>
          <t>processLeads</t>
        </is>
      </c>
      <c r="G19" s="2" t="inlineStr">
        <is>
          <t>Contact seniority = Director</t>
        </is>
      </c>
      <c r="H19" s="2" t="inlineStr">
        <is>
          <t>Medium</t>
        </is>
      </c>
      <c r="I19" s="2" t="inlineStr">
        <is>
          <t>node:test</t>
        </is>
      </c>
      <c r="J19" s="11" t="inlineStr">
        <is>
          <t>Pass</t>
        </is>
      </c>
      <c r="K19" s="2" t="inlineStr">
        <is>
          <t>Blank filled from the repeat</t>
        </is>
      </c>
    </row>
    <row r="20">
      <c r="A20" s="2" t="inlineStr">
        <is>
          <t>UT-17</t>
        </is>
      </c>
      <c r="B20" s="2" t="inlineStr">
        <is>
          <t>Same person with a different email alias and no LinkedIn</t>
        </is>
      </c>
      <c r="C20" s="2" t="inlineStr">
        <is>
          <t>processLeads() dedupe</t>
        </is>
      </c>
      <c r="D20" s="2" t="inlineStr">
        <is>
          <t>Functional</t>
        </is>
      </c>
      <c r="E20" s="2" t="inlineStr">
        <is>
          <t>aditi.rao@ and a.rao@, same name and company</t>
        </is>
      </c>
      <c r="F20" s="2" t="inlineStr">
        <is>
          <t>processLeads</t>
        </is>
      </c>
      <c r="G20" s="2" t="inlineStr">
        <is>
          <t>Flagged as a possible duplicate</t>
        </is>
      </c>
      <c r="H20" s="2" t="inlineStr">
        <is>
          <t>Medium</t>
        </is>
      </c>
      <c r="I20" s="2" t="inlineStr">
        <is>
          <t>node:test</t>
        </is>
      </c>
      <c r="J20" s="13" t="inlineStr">
        <is>
          <t>Gap</t>
        </is>
      </c>
      <c r="K20" s="2" t="inlineStr">
        <is>
          <t>Not detected: exact-key matching only (3 of 70 dataset rows caught)</t>
        </is>
      </c>
    </row>
    <row r="21">
      <c r="A21" s="2" t="inlineStr">
        <is>
          <t>UT-18</t>
        </is>
      </c>
      <c r="B21" s="2" t="inlineStr">
        <is>
          <t>A row without company_name is not loaded</t>
        </is>
      </c>
      <c r="C21" s="2" t="inlineStr">
        <is>
          <t>processLeads()</t>
        </is>
      </c>
      <c r="D21" s="2" t="inlineStr">
        <is>
          <t>Functional</t>
        </is>
      </c>
      <c r="E21" s="2" t="inlineStr">
        <is>
          <t>company_name blank</t>
        </is>
      </c>
      <c r="F21" s="2" t="inlineStr">
        <is>
          <t>processLeads</t>
        </is>
      </c>
      <c r="G21" s="2" t="inlineStr">
        <is>
          <t>notLoaded = 1, severity stop, no account created</t>
        </is>
      </c>
      <c r="H21" s="2" t="inlineStr">
        <is>
          <t>High</t>
        </is>
      </c>
      <c r="I21" s="2" t="inlineStr">
        <is>
          <t>node:test</t>
        </is>
      </c>
      <c r="J21" s="11" t="inlineStr">
        <is>
          <t>Pass</t>
        </is>
      </c>
      <c r="K21" s="2" t="inlineStr">
        <is>
          <t>45 of 45 dataset rows not loaded</t>
        </is>
      </c>
    </row>
    <row r="22">
      <c r="A22" s="2" t="inlineStr">
        <is>
          <t>UT-19</t>
        </is>
      </c>
      <c r="B22" s="2" t="inlineStr">
        <is>
          <t>Domain must be a bare domain</t>
        </is>
      </c>
      <c r="C22" s="2" t="inlineStr">
        <is>
          <t>processLeads() domain check</t>
        </is>
      </c>
      <c r="D22" s="2" t="inlineStr">
        <is>
          <t>Functional</t>
        </is>
      </c>
      <c r="E22" s="2" t="inlineStr">
        <is>
          <t>company_domain = https://www.nw.com/</t>
        </is>
      </c>
      <c r="F22" s="2" t="inlineStr">
        <is>
          <t>processLeads</t>
        </is>
      </c>
      <c r="G22" s="2" t="inlineStr">
        <is>
          <t>"isn't in the form company.com"; domain not used for matching</t>
        </is>
      </c>
      <c r="H22" s="2" t="inlineStr">
        <is>
          <t>Medium</t>
        </is>
      </c>
      <c r="I22" s="2" t="inlineStr">
        <is>
          <t>node:test</t>
        </is>
      </c>
      <c r="J22" s="11" t="inlineStr">
        <is>
          <t>Pass</t>
        </is>
      </c>
      <c r="K22" s="2" t="inlineStr">
        <is>
          <t>Flagged</t>
        </is>
      </c>
    </row>
    <row r="23">
      <c r="A23" s="2" t="inlineStr">
        <is>
          <t>UT-20</t>
        </is>
      </c>
      <c r="B23" s="2" t="inlineStr">
        <is>
          <t>Persona matching on job title</t>
        </is>
      </c>
      <c r="C23" s="2" t="inlineStr">
        <is>
          <t>personaOf()</t>
        </is>
      </c>
      <c r="D23" s="2" t="inlineStr">
        <is>
          <t>Functional</t>
        </is>
      </c>
      <c r="E23" s="2" t="inlineStr">
        <is>
          <t>Head of Instrumentation, Senior Instrument Engineer, Process Control Engineer, Plant Manager, Project Manager, Kepala Instrumentasi</t>
        </is>
      </c>
      <c r="F23" s="2" t="inlineStr">
        <is>
          <t>personaOf(title) for each</t>
        </is>
      </c>
      <c r="G23" s="2" t="inlineStr">
        <is>
          <t>Instrumentation and control roles are Primary; operations roles Secondary</t>
        </is>
      </c>
      <c r="H23" s="2" t="inlineStr">
        <is>
          <t>High</t>
        </is>
      </c>
      <c r="I23" s="2" t="inlineStr">
        <is>
          <t>node:test, table-driven over a title list agreed with sales</t>
        </is>
      </c>
      <c r="J23" s="13" t="inlineStr">
        <is>
          <t>Gap</t>
        </is>
      </c>
      <c r="K23" s="2" t="inlineStr">
        <is>
          <t>"Senior Instrument Engineer" and "Process Control Engineer" come back None; 41% of dataset contacts get no persona</t>
        </is>
      </c>
    </row>
    <row r="24">
      <c r="A24" s="2" t="inlineStr">
        <is>
          <t>UT-21</t>
        </is>
      </c>
      <c r="B24" s="2" t="inlineStr">
        <is>
          <t>Vertical classification and confidence</t>
        </is>
      </c>
      <c r="C24" s="2" t="inlineStr">
        <is>
          <t>classify()</t>
        </is>
      </c>
      <c r="D24" s="2" t="inlineStr">
        <is>
          <t>Functional</t>
        </is>
      </c>
      <c r="E24" s="2" t="inlineStr">
        <is>
          <t>Industry only: Oil &amp; Gas - Refining, Petrochemicals, LNG, Downstream Oil &amp; Gas, blank</t>
        </is>
      </c>
      <c r="F24" s="2" t="inlineStr">
        <is>
          <t>classify(industry, "")</t>
        </is>
      </c>
      <c r="G24" s="2" t="inlineStr">
        <is>
          <t>Refining/Petrochemicals/Gas processing at medium; unmapped → Other, low, needs review</t>
        </is>
      </c>
      <c r="H24" s="2" t="inlineStr">
        <is>
          <t>High</t>
        </is>
      </c>
      <c r="I24" s="2" t="inlineStr">
        <is>
          <t>node:test</t>
        </is>
      </c>
      <c r="J24" s="11" t="inlineStr">
        <is>
          <t>Pass</t>
        </is>
      </c>
      <c r="K24" s="2" t="inlineStr">
        <is>
          <t>As expected; "Downstream Oil &amp; Gas" falls to Other (an AI classifier would decide)</t>
        </is>
      </c>
    </row>
    <row r="25">
      <c r="A25" s="2" t="inlineStr">
        <is>
          <t>UT-22</t>
        </is>
      </c>
      <c r="B25" s="2" t="inlineStr">
        <is>
          <t>Classification is high confidence when industry and site process agree</t>
        </is>
      </c>
      <c r="C25" s="2" t="inlineStr">
        <is>
          <t>classify()</t>
        </is>
      </c>
      <c r="D25" s="2" t="inlineStr">
        <is>
          <t>Functional</t>
        </is>
      </c>
      <c r="E25" s="2" t="inlineStr">
        <is>
          <t>industry Refining, site Crude refining</t>
        </is>
      </c>
      <c r="F25" s="2" t="inlineStr">
        <is>
          <t>classify()</t>
        </is>
      </c>
      <c r="G25" s="2" t="inlineStr">
        <is>
          <t>confidence high</t>
        </is>
      </c>
      <c r="H25" s="2" t="inlineStr">
        <is>
          <t>Medium</t>
        </is>
      </c>
      <c r="I25" s="2" t="inlineStr">
        <is>
          <t>node:test</t>
        </is>
      </c>
      <c r="J25" s="11" t="inlineStr">
        <is>
          <t>Pass</t>
        </is>
      </c>
      <c r="K25" s="2" t="inlineStr">
        <is>
          <t>Covered by the existing golden test</t>
        </is>
      </c>
    </row>
    <row r="26">
      <c r="A26" s="2" t="inlineStr">
        <is>
          <t>UT-23</t>
        </is>
      </c>
      <c r="B26" s="2" t="inlineStr">
        <is>
          <t>Pilot-region knock-out ignores case</t>
        </is>
      </c>
      <c r="C26" s="2" t="inlineStr">
        <is>
          <t>buildAccounts() region rule</t>
        </is>
      </c>
      <c r="D26" s="2" t="inlineStr">
        <is>
          <t>Functional</t>
        </is>
      </c>
      <c r="E26" s="2" t="inlineStr">
        <is>
          <t>country = singapore</t>
        </is>
      </c>
      <c r="F26" s="2" t="inlineStr">
        <is>
          <t>processLeads</t>
        </is>
      </c>
      <c r="G26" s="2" t="inlineStr">
        <is>
          <t>Account passes</t>
        </is>
      </c>
      <c r="H26" s="2" t="inlineStr">
        <is>
          <t>High</t>
        </is>
      </c>
      <c r="I26" s="2" t="inlineStr">
        <is>
          <t>node:test</t>
        </is>
      </c>
      <c r="J26" s="11" t="inlineStr">
        <is>
          <t>Pass</t>
        </is>
      </c>
      <c r="K26" s="2" t="inlineStr">
        <is>
          <t>Passes</t>
        </is>
      </c>
    </row>
    <row r="27">
      <c r="A27" s="2" t="inlineStr">
        <is>
          <t>UT-24</t>
        </is>
      </c>
      <c r="B27" s="2" t="inlineStr">
        <is>
          <t>Pilot-region knock-out accepts common variants (SG, Viet Nam, Việt Nam, Phillipines)</t>
        </is>
      </c>
      <c r="C27" s="2" t="inlineStr">
        <is>
          <t>buildAccounts() region rule</t>
        </is>
      </c>
      <c r="D27" s="2" t="inlineStr">
        <is>
          <t>Functional</t>
        </is>
      </c>
      <c r="E27" s="2" t="inlineStr">
        <is>
          <t>Lead_Research_Sample_Dataset.xlsx: accounts tagged FMT-COUNTRY in Account key</t>
        </is>
      </c>
      <c r="F27" s="2" t="inlineStr">
        <is>
          <t>processLeads</t>
        </is>
      </c>
      <c r="G27" s="2" t="inlineStr">
        <is>
          <t>Accounts in the pilot region pass</t>
        </is>
      </c>
      <c r="H27" s="2" t="inlineStr">
        <is>
          <t>High</t>
        </is>
      </c>
      <c r="I27" s="2" t="inlineStr">
        <is>
          <t>node:test</t>
        </is>
      </c>
      <c r="J27" s="12" t="inlineStr">
        <is>
          <t>Fail</t>
        </is>
      </c>
      <c r="K27" s="2" t="inlineStr">
        <is>
          <t>All variants excluded as "outside the pilot region": about 50 in-region dataset accounts lost</t>
        </is>
      </c>
    </row>
    <row r="28">
      <c r="A28" s="2" t="inlineStr">
        <is>
          <t>UT-25</t>
        </is>
      </c>
      <c r="B28" s="2" t="inlineStr">
        <is>
          <t>Managed-separately and all-opted-out knock-outs</t>
        </is>
      </c>
      <c r="C28" s="2" t="inlineStr">
        <is>
          <t>buildAccounts()</t>
        </is>
      </c>
      <c r="D28" s="2" t="inlineStr">
        <is>
          <t>Functional</t>
        </is>
      </c>
      <c r="E28" s="2" t="inlineStr">
        <is>
          <t>managed_separately = Y; every contact opt_out = Y</t>
        </is>
      </c>
      <c r="F28" s="2" t="inlineStr">
        <is>
          <t>processLeads</t>
        </is>
      </c>
      <c r="G28" s="2" t="inlineStr">
        <is>
          <t>Excluded with the matching reason</t>
        </is>
      </c>
      <c r="H28" s="2" t="inlineStr">
        <is>
          <t>High</t>
        </is>
      </c>
      <c r="I28" s="2" t="inlineStr">
        <is>
          <t>node:test</t>
        </is>
      </c>
      <c r="J28" s="11" t="inlineStr">
        <is>
          <t>Pass</t>
        </is>
      </c>
      <c r="K28" s="2" t="inlineStr">
        <is>
          <t>Both reasons as specified</t>
        </is>
      </c>
    </row>
    <row r="29">
      <c r="A29" s="2" t="inlineStr">
        <is>
          <t>UT-26</t>
        </is>
      </c>
      <c r="B29" s="2" t="inlineStr">
        <is>
          <t>Contactability matrix: channel × consent × opt-out</t>
        </is>
      </c>
      <c r="C29" s="2" t="inlineStr">
        <is>
          <t>processLeads() reachability</t>
        </is>
      </c>
      <c r="D29" s="2" t="inlineStr">
        <is>
          <t>Functional</t>
        </is>
      </c>
      <c r="E29" s="2" t="inlineStr">
        <is>
          <t>Verified email + LinkedIn; unverified email + LinkedIn; unverified email only; nothing; consent Implied; opt-out blank</t>
        </is>
      </c>
      <c r="F29" s="2" t="inlineStr">
        <is>
          <t>processLeads per case</t>
        </is>
      </c>
      <c r="G29" s="2" t="inlineStr">
        <is>
          <t>reachableBy = email and LinkedIn / LinkedIn / none / none; Implied or blank opt-out → not contactable</t>
        </is>
      </c>
      <c r="H29" s="2" t="inlineStr">
        <is>
          <t>High</t>
        </is>
      </c>
      <c r="I29" s="2" t="inlineStr">
        <is>
          <t>node:test, table-driven</t>
        </is>
      </c>
      <c r="J29" s="11" t="inlineStr">
        <is>
          <t>Pass</t>
        </is>
      </c>
      <c r="K29" s="2" t="inlineStr">
        <is>
          <t>All combinations as specified</t>
        </is>
      </c>
    </row>
    <row r="30">
      <c r="A30" s="2" t="inlineStr">
        <is>
          <t>UT-27</t>
        </is>
      </c>
      <c r="B30" s="2" t="inlineStr">
        <is>
          <t>Company details that differ between rows are flagged</t>
        </is>
      </c>
      <c r="C30" s="2" t="inlineStr">
        <is>
          <t>buildAccounts() consistency</t>
        </is>
      </c>
      <c r="D30" s="2" t="inlineStr">
        <is>
          <t>Functional</t>
        </is>
      </c>
      <c r="E30" s="2" t="inlineStr">
        <is>
          <t>Two rows, same company, different revenue</t>
        </is>
      </c>
      <c r="F30" s="2" t="inlineStr">
        <is>
          <t>processLeads</t>
        </is>
      </c>
      <c r="G30" s="2" t="inlineStr">
        <is>
          <t>One "Differs from row N" issue; first row's value used</t>
        </is>
      </c>
      <c r="H30" s="2" t="inlineStr">
        <is>
          <t>Medium</t>
        </is>
      </c>
      <c r="I30" s="2" t="inlineStr">
        <is>
          <t>node:test</t>
        </is>
      </c>
      <c r="J30" s="11" t="inlineStr">
        <is>
          <t>Pass</t>
        </is>
      </c>
      <c r="K30" s="2" t="inlineStr">
        <is>
          <t>58 of 60 dataset rows flagged; 2 not flagged, to investigate</t>
        </is>
      </c>
    </row>
    <row r="31">
      <c r="A31" s="2" t="inlineStr">
        <is>
          <t>UT-28</t>
        </is>
      </c>
      <c r="B31" s="2" t="inlineStr">
        <is>
          <t>Counts add up</t>
        </is>
      </c>
      <c r="C31" s="2" t="inlineStr">
        <is>
          <t>processLeads() stats</t>
        </is>
      </c>
      <c r="D31" s="2" t="inlineStr">
        <is>
          <t>Functional</t>
        </is>
      </c>
      <c r="E31" s="2" t="inlineStr">
        <is>
          <t>Lead_Research_Sample_Dataset.xlsx Lead template (7,498 rows)</t>
        </is>
      </c>
      <c r="F31" s="2" t="inlineStr">
        <is>
          <t>processLeads</t>
        </is>
      </c>
      <c r="G31" s="2" t="inlineStr">
        <is>
          <t>rowsRead = notLoaded + merged + contacts</t>
        </is>
      </c>
      <c r="H31" s="2" t="inlineStr">
        <is>
          <t>High</t>
        </is>
      </c>
      <c r="I31" s="2" t="inlineStr">
        <is>
          <t>node:test</t>
        </is>
      </c>
      <c r="J31" s="11" t="inlineStr">
        <is>
          <t>Pass</t>
        </is>
      </c>
      <c r="K31" s="2" t="inlineStr">
        <is>
          <t>7,498 = 45 + 457 + 6,996</t>
        </is>
      </c>
    </row>
    <row r="32">
      <c r="A32" s="2" t="inlineStr">
        <is>
          <t>UT-29</t>
        </is>
      </c>
      <c r="B32" s="2" t="inlineStr">
        <is>
          <t>Same file gives the same result every time</t>
        </is>
      </c>
      <c r="C32" s="2" t="inlineStr">
        <is>
          <t>processLeads()</t>
        </is>
      </c>
      <c r="D32" s="2" t="inlineStr">
        <is>
          <t>Non-functional · reliability</t>
        </is>
      </c>
      <c r="E32" s="2" t="inlineStr">
        <is>
          <t>Lead_Research_Sample_Dataset.xlsx</t>
        </is>
      </c>
      <c r="F32" s="2" t="inlineStr">
        <is>
          <t>Run twice, compare stats</t>
        </is>
      </c>
      <c r="G32" s="2" t="inlineStr">
        <is>
          <t>Identical</t>
        </is>
      </c>
      <c r="H32" s="2" t="inlineStr">
        <is>
          <t>Medium</t>
        </is>
      </c>
      <c r="I32" s="2" t="inlineStr">
        <is>
          <t>node:test</t>
        </is>
      </c>
      <c r="J32" s="11" t="inlineStr">
        <is>
          <t>Pass</t>
        </is>
      </c>
      <c r="K32" s="2" t="inlineStr">
        <is>
          <t>Identical</t>
        </is>
      </c>
    </row>
    <row r="33">
      <c r="A33" s="2" t="inlineStr">
        <is>
          <t>UT-30</t>
        </is>
      </c>
      <c r="B33" s="2" t="inlineStr">
        <is>
          <t>Engine throughput at 1× and 10× the dataset</t>
        </is>
      </c>
      <c r="C33" s="2" t="inlineStr">
        <is>
          <t>processLeads()</t>
        </is>
      </c>
      <c r="D33" s="2" t="inlineStr">
        <is>
          <t>Non-functional · performance</t>
        </is>
      </c>
      <c r="E33" s="2" t="inlineStr">
        <is>
          <t>Lead_Research_Sample_Dataset.xlsx, then 75k rows (10 copies)</t>
        </is>
      </c>
      <c r="F33" s="2" t="inlineStr">
        <is>
          <t>Time processLeads</t>
        </is>
      </c>
      <c r="G33" s="2" t="inlineStr">
        <is>
          <t>Under 1 s for 7.5k rows; scales roughly linearly</t>
        </is>
      </c>
      <c r="H33" s="2" t="inlineStr">
        <is>
          <t>Medium</t>
        </is>
      </c>
      <c r="I33" s="2" t="inlineStr">
        <is>
          <t>node:test with a time budget</t>
        </is>
      </c>
      <c r="J33" s="11" t="inlineStr">
        <is>
          <t>Pass</t>
        </is>
      </c>
      <c r="K33" s="2" t="inlineStr">
        <is>
          <t>0.18 s for 7,498 rows; 1.2 s for 74,983 rows</t>
        </is>
      </c>
    </row>
    <row r="34">
      <c r="A34" s="2" t="inlineStr">
        <is>
          <t>UT-31</t>
        </is>
      </c>
      <c r="B34" s="2" t="inlineStr">
        <is>
          <t>Page helpers: HTML escaping, initials, avatar colour</t>
        </is>
      </c>
      <c r="C34" s="2" t="inlineStr">
        <is>
          <t>esc(), initials(), avColor() in the page</t>
        </is>
      </c>
      <c r="D34" s="2" t="inlineStr">
        <is>
          <t>Functional</t>
        </is>
      </c>
      <c r="E34" s="2" t="inlineStr">
        <is>
          <t>esc('&lt;img onerror&gt;'), initials("Wei Ming Tan"), avColor same id twice</t>
        </is>
      </c>
      <c r="F34" s="2" t="inlineStr">
        <is>
          <t>Extract the helpers to a module, or evaluate in jsdom</t>
        </is>
      </c>
      <c r="G34" s="2" t="inlineStr">
        <is>
          <t>Escaped; "WM"; same colour each time</t>
        </is>
      </c>
      <c r="H34" s="2" t="inlineStr">
        <is>
          <t>Medium</t>
        </is>
      </c>
      <c r="I34" s="2" t="inlineStr">
        <is>
          <t>jsdom or Playwright page.evaluate</t>
        </is>
      </c>
      <c r="J34" s="14" t="inlineStr">
        <is>
          <t>Not run</t>
        </is>
      </c>
      <c r="K34" s="2" t="inlineStr">
        <is>
          <t>esc() confirmed indirectly by CT-30</t>
        </is>
      </c>
    </row>
    <row r="35">
      <c r="A35" s="2" t="inlineStr">
        <is>
          <t>UT-32</t>
        </is>
      </c>
      <c r="B35" s="2" t="inlineStr">
        <is>
          <t>Issue → check mapping covers every issue text the engine can produce</t>
        </is>
      </c>
      <c r="C35" s="2" t="inlineStr">
        <is>
          <t>checkOf() in the page</t>
        </is>
      </c>
      <c r="D35" s="2" t="inlineStr">
        <is>
          <t>Functional</t>
        </is>
      </c>
      <c r="E35" s="2" t="inlineStr">
        <is>
          <t>Every issue in the dataset run</t>
        </is>
      </c>
      <c r="F35" s="2" t="inlineStr">
        <is>
          <t>Group issues with checkOf; list the issue texts that fall into "required" by default</t>
        </is>
      </c>
      <c r="G35" s="2" t="inlineStr">
        <is>
          <t>Only missing-field issues land in "Required fields"</t>
        </is>
      </c>
      <c r="H35" s="2" t="inlineStr">
        <is>
          <t>Medium</t>
        </is>
      </c>
      <c r="I35" s="2" t="inlineStr">
        <is>
          <t>Playwright page.evaluate</t>
        </is>
      </c>
      <c r="J35" s="13" t="inlineStr">
        <is>
          <t>Gap</t>
        </is>
      </c>
      <c r="K35" s="2" t="inlineStr">
        <is>
          <t>Fallback bucket: "No owner rep", "isn't an email", "No company size" all land in "Required fields", so the counts mix different problems</t>
        </is>
      </c>
    </row>
  </sheetData>
  <autoFilter ref="A3:K35"/>
  <dataValidations count="1">
    <dataValidation sqref="J4:J35" showDropDown="0" showInputMessage="0" showErrorMessage="0" allowBlank="1" type="list">
      <formula1>"Pass,Fail,Gap,Not run,Blocked"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30" customWidth="1" min="3" max="3"/>
    <col width="24" customWidth="1" min="4" max="4"/>
    <col width="40" customWidth="1" min="5" max="5"/>
    <col width="34" customWidth="1" min="6" max="6"/>
    <col width="48" customWidth="1" min="7" max="7"/>
    <col width="10" customWidth="1" min="8" max="8"/>
    <col width="30" customWidth="1" min="9" max="9"/>
    <col width="14" customWidth="1" min="10" max="10"/>
    <col width="56" customWidth="1" min="11" max="11"/>
  </cols>
  <sheetData>
    <row r="1">
      <c r="A1" s="4" t="inlineStr">
        <is>
          <t>Component tests · Tests one piece of the page (upload, checks pop-up, tables, filters, selection, save, saved lists, roles) in a real browser, with controlled input.</t>
        </is>
      </c>
    </row>
    <row r="3">
      <c r="A3" s="3" t="inlineStr">
        <is>
          <t>ID</t>
        </is>
      </c>
      <c r="B3" s="3" t="inlineStr">
        <is>
          <t>Test case</t>
        </is>
      </c>
      <c r="C3" s="3" t="inlineStr">
        <is>
          <t>Function / component under test</t>
        </is>
      </c>
      <c r="D3" s="3" t="inlineStr">
        <is>
          <t>Aspect</t>
        </is>
      </c>
      <c r="E3" s="3" t="inlineStr">
        <is>
          <t>Preconditions and test data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How to automate</t>
        </is>
      </c>
      <c r="J3" s="3" t="inlineStr">
        <is>
          <t>First run (3 Oct 2026)</t>
        </is>
      </c>
      <c r="K3" s="3" t="inlineStr">
        <is>
          <t>Observed</t>
        </is>
      </c>
    </row>
    <row r="4">
      <c r="A4" s="2" t="inlineStr">
        <is>
          <t>CT-01</t>
        </is>
      </c>
      <c r="B4" s="2" t="inlineStr">
        <is>
          <t>Upload card renders with required fields and pilot region</t>
        </is>
      </c>
      <c r="C4" s="2" t="inlineStr">
        <is>
          <t>renderStart("upload")</t>
        </is>
      </c>
      <c r="D4" s="2" t="inlineStr">
        <is>
          <t>Functional</t>
        </is>
      </c>
      <c r="E4" s="2" t="inlineStr">
        <is>
          <t>Fresh page</t>
        </is>
      </c>
      <c r="F4" s="2" t="inlineStr">
        <is>
          <t>Open 10-prospecting.html</t>
        </is>
      </c>
      <c r="G4" s="2" t="inlineStr">
        <is>
          <t>Drop zone, "Use sample data", "Download lead template", required-field list and the 6 pilot countries visible</t>
        </is>
      </c>
      <c r="H4" s="2" t="inlineStr">
        <is>
          <t>High</t>
        </is>
      </c>
      <c r="I4" s="2" t="inlineStr">
        <is>
          <t>Playwright</t>
        </is>
      </c>
      <c r="J4" s="11" t="inlineStr">
        <is>
          <t>Pass</t>
        </is>
      </c>
      <c r="K4" s="2" t="inlineStr">
        <is>
          <t>All visible; loaded in 162 ms</t>
        </is>
      </c>
    </row>
    <row r="5">
      <c r="A5" s="2" t="inlineStr">
        <is>
          <t>CT-02</t>
        </is>
      </c>
      <c r="B5" s="2" t="inlineStr">
        <is>
          <t>Choosing a file opens the checks pop-up</t>
        </is>
      </c>
      <c r="C5" s="2" t="inlineStr">
        <is>
          <t>Drop zone + #fileInput → onFile()</t>
        </is>
      </c>
      <c r="D5" s="2" t="inlineStr">
        <is>
          <t>Functional</t>
        </is>
      </c>
      <c r="E5" s="2" t="inlineStr">
        <is>
          <t>Lead_Research_Sample_Dataset.xlsx</t>
        </is>
      </c>
      <c r="F5" s="2" t="inlineStr">
        <is>
          <t>setInputFiles(#fileInput)</t>
        </is>
      </c>
      <c r="G5" s="2" t="inlineStr">
        <is>
          <t>Checks pop-up appears</t>
        </is>
      </c>
      <c r="H5" s="2" t="inlineStr">
        <is>
          <t>High</t>
        </is>
      </c>
      <c r="I5" s="2" t="inlineStr">
        <is>
          <t>Playwright setInputFiles</t>
        </is>
      </c>
      <c r="J5" s="11" t="inlineStr">
        <is>
          <t>Pass</t>
        </is>
      </c>
      <c r="K5" s="2" t="inlineStr">
        <is>
          <t>Pop-up after 1.5 s (read + parse + rules)</t>
        </is>
      </c>
    </row>
    <row r="6">
      <c r="A6" s="2" t="inlineStr">
        <is>
          <t>CT-03</t>
        </is>
      </c>
      <c r="B6" s="2" t="inlineStr">
        <is>
          <t>Drag and drop a file onto the drop zone</t>
        </is>
      </c>
      <c r="C6" s="2" t="inlineStr">
        <is>
          <t>dropZone drop handler</t>
        </is>
      </c>
      <c r="D6" s="2" t="inlineStr">
        <is>
          <t>Functional</t>
        </is>
      </c>
      <c r="E6" s="2" t="inlineStr">
        <is>
          <t>Lead_Research_Sample_Dataset.xlsx</t>
        </is>
      </c>
      <c r="F6" s="2" t="inlineStr">
        <is>
          <t>Dispatch dragover / drop with a DataTransfer</t>
        </is>
      </c>
      <c r="G6" s="2" t="inlineStr">
        <is>
          <t>Border highlights on dragover; file processed on drop</t>
        </is>
      </c>
      <c r="H6" s="2" t="inlineStr">
        <is>
          <t>Medium</t>
        </is>
      </c>
      <c r="I6" s="2" t="inlineStr">
        <is>
          <t>Playwright dispatchEvent with DataTransfer</t>
        </is>
      </c>
      <c r="J6" s="14" t="inlineStr">
        <is>
          <t>Not run</t>
        </is>
      </c>
      <c r="K6" s="2" t="n"/>
    </row>
    <row r="7">
      <c r="A7" s="2" t="inlineStr">
        <is>
          <t>CT-04</t>
        </is>
      </c>
      <c r="B7" s="2" t="inlineStr">
        <is>
          <t>Wrong file type is refused with a message</t>
        </is>
      </c>
      <c r="C7" s="2" t="inlineStr">
        <is>
          <t>readFileToGrids()</t>
        </is>
      </c>
      <c r="D7" s="2" t="inlineStr">
        <is>
          <t>Functional</t>
        </is>
      </c>
      <c r="E7" s="2" t="inlineStr">
        <is>
          <t>bad.txt</t>
        </is>
      </c>
      <c r="F7" s="2" t="inlineStr">
        <is>
          <t>Upload</t>
        </is>
      </c>
      <c r="G7" s="2" t="inlineStr">
        <is>
          <t>Toast "Use a .csv or .xlsx file"; nothing processed</t>
        </is>
      </c>
      <c r="H7" s="2" t="inlineStr">
        <is>
          <t>High</t>
        </is>
      </c>
      <c r="I7" s="2" t="inlineStr">
        <is>
          <t>Playwright</t>
        </is>
      </c>
      <c r="J7" s="11" t="inlineStr">
        <is>
          <t>Pass</t>
        </is>
      </c>
      <c r="K7" s="2" t="inlineStr">
        <is>
          <t>Toast shown</t>
        </is>
      </c>
    </row>
    <row r="8">
      <c r="A8" s="2" t="inlineStr">
        <is>
          <t>CT-05</t>
        </is>
      </c>
      <c r="B8" s="2" t="inlineStr">
        <is>
          <t>Excel library unavailable (CDN blocked)</t>
        </is>
      </c>
      <c r="C8" s="2" t="inlineStr">
        <is>
          <t>readFileToGrids()</t>
        </is>
      </c>
      <c r="D8" s="2" t="inlineStr">
        <is>
          <t>Non-functional · reliability</t>
        </is>
      </c>
      <c r="E8" s="2" t="inlineStr">
        <is>
          <t>Block cdnjs.cloudflare.com</t>
        </is>
      </c>
      <c r="F8" s="2" t="inlineStr">
        <is>
          <t>Upload an .xlsx</t>
        </is>
      </c>
      <c r="G8" s="2" t="inlineStr">
        <is>
          <t>Toast tells the user to save as CSV</t>
        </is>
      </c>
      <c r="H8" s="2" t="inlineStr">
        <is>
          <t>Medium</t>
        </is>
      </c>
      <c r="I8" s="2" t="inlineStr">
        <is>
          <t>Playwright route.abort()</t>
        </is>
      </c>
      <c r="J8" s="14" t="inlineStr">
        <is>
          <t>Not run</t>
        </is>
      </c>
      <c r="K8" s="2" t="n"/>
    </row>
    <row r="9">
      <c r="A9" s="2" t="inlineStr">
        <is>
          <t>CT-06</t>
        </is>
      </c>
      <c r="B9" s="2" t="inlineStr">
        <is>
          <t>Multi-sheet workbook: the "Lead template" sheet is used, guide and answer-key sheets ignored</t>
        </is>
      </c>
      <c r="C9" s="2" t="inlineStr">
        <is>
          <t>pickSheet()</t>
        </is>
      </c>
      <c r="D9" s="2" t="inlineStr">
        <is>
          <t>Functional</t>
        </is>
      </c>
      <c r="E9" s="2" t="inlineStr">
        <is>
          <t>Lead_Research_Sample_Dataset.xlsx (9 sheets)</t>
        </is>
      </c>
      <c r="F9" s="2" t="inlineStr">
        <is>
          <t>Upload</t>
        </is>
      </c>
      <c r="G9" s="2" t="inlineStr">
        <is>
          <t>Sheet badge reads "Lead template"; 7,498 rows read</t>
        </is>
      </c>
      <c r="H9" s="2" t="inlineStr">
        <is>
          <t>High</t>
        </is>
      </c>
      <c r="I9" s="2" t="inlineStr">
        <is>
          <t>Playwright</t>
        </is>
      </c>
      <c r="J9" s="11" t="inlineStr">
        <is>
          <t>Pass</t>
        </is>
      </c>
      <c r="K9" s="2" t="inlineStr">
        <is>
          <t>7,498 rows read from "Lead template"</t>
        </is>
      </c>
    </row>
    <row r="10">
      <c r="A10" s="2" t="inlineStr">
        <is>
          <t>CT-07</t>
        </is>
      </c>
      <c r="B10" s="2" t="inlineStr">
        <is>
          <t>Checks pop-up runs all 12 steps and shows a result for each</t>
        </is>
      </c>
      <c r="C10" s="2" t="inlineStr">
        <is>
          <t>openChecks()</t>
        </is>
      </c>
      <c r="D10" s="2" t="inlineStr">
        <is>
          <t>Functional</t>
        </is>
      </c>
      <c r="E10" s="2" t="inlineStr">
        <is>
          <t>Lead_Research_Sample_Dataset.xlsx</t>
        </is>
      </c>
      <c r="F10" s="2" t="inlineStr">
        <is>
          <t>Upload; wait for footer</t>
        </is>
      </c>
      <c r="G10" s="2" t="inlineStr">
        <is>
          <t>Each step turns green/amber/red/grey with a count and the first 5 rows; progress bar reaches 100%</t>
        </is>
      </c>
      <c r="H10" s="2" t="inlineStr">
        <is>
          <t>High</t>
        </is>
      </c>
      <c r="I10" s="2" t="inlineStr">
        <is>
          <t>Playwright</t>
        </is>
      </c>
      <c r="J10" s="11" t="inlineStr">
        <is>
          <t>Pass</t>
        </is>
      </c>
      <c r="K10" s="2" t="inlineStr">
        <is>
          <t>e.g. Email format 197 found; Duplicates 457; Opt-outs 259; Classification 854 need review; Knock-outs 275 excluded</t>
        </is>
      </c>
    </row>
    <row r="11">
      <c r="A11" s="2" t="inlineStr">
        <is>
          <t>CT-08</t>
        </is>
      </c>
      <c r="B11" s="2" t="inlineStr">
        <is>
          <t>Checks footer totals match the engine</t>
        </is>
      </c>
      <c r="C11" s="2" t="inlineStr">
        <is>
          <t>openChecks() footer</t>
        </is>
      </c>
      <c r="D11" s="2" t="inlineStr">
        <is>
          <t>Functional</t>
        </is>
      </c>
      <c r="E11" s="2" t="inlineStr">
        <is>
          <t>Lead_Research_Sample_Dataset.xlsx</t>
        </is>
      </c>
      <c r="F11" s="2" t="inlineStr">
        <is>
          <t>Read footer text</t>
        </is>
      </c>
      <c r="G11" s="2" t="inlineStr">
        <is>
          <t>"7,382 issues · 1,168 of 1,443 accounts pass · 4,933 contacts in the list"</t>
        </is>
      </c>
      <c r="H11" s="2" t="inlineStr">
        <is>
          <t>High</t>
        </is>
      </c>
      <c r="I11" s="2" t="inlineStr">
        <is>
          <t>Playwright vs node engine run</t>
        </is>
      </c>
      <c r="J11" s="11" t="inlineStr">
        <is>
          <t>Pass</t>
        </is>
      </c>
      <c r="K11" s="2" t="inlineStr">
        <is>
          <t>Matches the engine exactly</t>
        </is>
      </c>
    </row>
    <row r="12">
      <c r="A12" s="2" t="inlineStr">
        <is>
          <t>CT-09</t>
        </is>
      </c>
      <c r="B12" s="2" t="inlineStr">
        <is>
          <t>Checks pop-up timing</t>
        </is>
      </c>
      <c r="C12" s="2" t="inlineStr">
        <is>
          <t>openChecks() animation</t>
        </is>
      </c>
      <c r="D12" s="2" t="inlineStr">
        <is>
          <t>Non-functional · performance / usability</t>
        </is>
      </c>
      <c r="E12" s="2" t="inlineStr">
        <is>
          <t>Lead_Research_Sample_Dataset.xlsx</t>
        </is>
      </c>
      <c r="F12" s="2" t="inlineStr">
        <is>
          <t>Time from upload to "View the list"</t>
        </is>
      </c>
      <c r="G12" s="2" t="inlineStr">
        <is>
          <t>Under 5 s</t>
        </is>
      </c>
      <c r="H12" s="2" t="inlineStr">
        <is>
          <t>Low</t>
        </is>
      </c>
      <c r="I12" s="2" t="inlineStr">
        <is>
          <t>Playwright timing</t>
        </is>
      </c>
      <c r="J12" s="12" t="inlineStr">
        <is>
          <t>Fail</t>
        </is>
      </c>
      <c r="K12" s="2" t="inlineStr">
        <is>
          <t>6.4 s: 1.5 s processing plus a fixed 4.6 s animation (12 × 380 ms), even for tiny files</t>
        </is>
      </c>
    </row>
    <row r="13">
      <c r="A13" s="2" t="inlineStr">
        <is>
          <t>CT-10</t>
        </is>
      </c>
      <c r="B13" s="2" t="inlineStr">
        <is>
          <t>Stat cards show rows, issues, accounts, excluded and final list</t>
        </is>
      </c>
      <c r="C13" s="2" t="inlineStr">
        <is>
          <t>renderRun() stats</t>
        </is>
      </c>
      <c r="D13" s="2" t="inlineStr">
        <is>
          <t>Functional</t>
        </is>
      </c>
      <c r="E13" s="2" t="inlineStr">
        <is>
          <t>Lead_Research_Sample_Dataset.xlsx</t>
        </is>
      </c>
      <c r="F13" s="2" t="inlineStr">
        <is>
          <t>View the list</t>
        </is>
      </c>
      <c r="G13" s="2" t="inlineStr">
        <is>
          <t>Rows read 7,498 (45 not loaded · 457 merged); Issues 7,382; Accounts 1,443; Excluded 275; Final list 4,933 of 6,996</t>
        </is>
      </c>
      <c r="H13" s="2" t="inlineStr">
        <is>
          <t>High</t>
        </is>
      </c>
      <c r="I13" s="2" t="inlineStr">
        <is>
          <t>Playwright</t>
        </is>
      </c>
      <c r="J13" s="11" t="inlineStr">
        <is>
          <t>Pass</t>
        </is>
      </c>
      <c r="K13" s="2" t="inlineStr">
        <is>
          <t>All five values correct</t>
        </is>
      </c>
    </row>
    <row r="14">
      <c r="A14" s="2" t="inlineStr">
        <is>
          <t>CT-11</t>
        </is>
      </c>
      <c r="B14" s="2" t="inlineStr">
        <is>
          <t>Final list table renders every contact with 15 columns</t>
        </is>
      </c>
      <c r="C14" s="2" t="inlineStr">
        <is>
          <t>drawListRows()</t>
        </is>
      </c>
      <c r="D14" s="2" t="inlineStr">
        <is>
          <t>Functional</t>
        </is>
      </c>
      <c r="E14" s="2" t="inlineStr">
        <is>
          <t>Lead_Research_Sample_Dataset.xlsx</t>
        </is>
      </c>
      <c r="F14" s="2" t="inlineStr">
        <is>
          <t>View the list; count rows</t>
        </is>
      </c>
      <c r="G14" s="2" t="inlineStr">
        <is>
          <t>6,996 rows; email shows Verified / Not verified / Malformed</t>
        </is>
      </c>
      <c r="H14" s="2" t="inlineStr">
        <is>
          <t>High</t>
        </is>
      </c>
      <c r="I14" s="2" t="inlineStr">
        <is>
          <t>Playwright</t>
        </is>
      </c>
      <c r="J14" s="11" t="inlineStr">
        <is>
          <t>Pass</t>
        </is>
      </c>
      <c r="K14" s="2" t="inlineStr">
        <is>
          <t>6,996 rows rendered</t>
        </is>
      </c>
    </row>
    <row r="15">
      <c r="A15" s="2" t="inlineStr">
        <is>
          <t>CT-12</t>
        </is>
      </c>
      <c r="B15" s="2" t="inlineStr">
        <is>
          <t>Final list render time and DOM size at 7.5k rows</t>
        </is>
      </c>
      <c r="C15" s="2" t="inlineStr">
        <is>
          <t>drawListRows()</t>
        </is>
      </c>
      <c r="D15" s="2" t="inlineStr">
        <is>
          <t>Non-functional · performance</t>
        </is>
      </c>
      <c r="E15" s="2" t="inlineStr">
        <is>
          <t>Lead_Research_Sample_Dataset.xlsx</t>
        </is>
      </c>
      <c r="F15" s="2" t="inlineStr">
        <is>
          <t>Time "View the list" → table visible</t>
        </is>
      </c>
      <c r="G15" s="2" t="inlineStr">
        <is>
          <t>Under 2 s; DOM under 50k nodes (virtualised or paginated)</t>
        </is>
      </c>
      <c r="H15" s="2" t="inlineStr">
        <is>
          <t>High</t>
        </is>
      </c>
      <c r="I15" s="2" t="inlineStr">
        <is>
          <t>Playwright + performance.now</t>
        </is>
      </c>
      <c r="J15" s="12" t="inlineStr">
        <is>
          <t>Fail</t>
        </is>
      </c>
      <c r="K15" s="2" t="inlineStr">
        <is>
          <t>7.3 s; 275,831 DOM nodes; no pagination or virtual scrolling</t>
        </is>
      </c>
    </row>
    <row r="16">
      <c r="A16" s="2" t="inlineStr">
        <is>
          <t>CT-13</t>
        </is>
      </c>
      <c r="B16" s="2" t="inlineStr">
        <is>
          <t>Status filter pills</t>
        </is>
      </c>
      <c r="C16" s="2" t="inlineStr">
        <is>
          <t>visibleContacts() filt</t>
        </is>
      </c>
      <c r="D16" s="2" t="inlineStr">
        <is>
          <t>Functional</t>
        </is>
      </c>
      <c r="E16" s="2" t="inlineStr">
        <is>
          <t>Lead_Research_Sample_Dataset.xlsx</t>
        </is>
      </c>
      <c r="F16" s="2" t="inlineStr">
        <is>
          <t>Click All / In the final list / Not contactable / Not in the list</t>
        </is>
      </c>
      <c r="G16" s="2" t="inlineStr">
        <is>
          <t>Row counts add up to 6,996; In the final list = 4,933</t>
        </is>
      </c>
      <c r="H16" s="2" t="inlineStr">
        <is>
          <t>High</t>
        </is>
      </c>
      <c r="I16" s="2" t="inlineStr">
        <is>
          <t>Playwright</t>
        </is>
      </c>
      <c r="J16" s="11" t="inlineStr">
        <is>
          <t>Pass</t>
        </is>
      </c>
      <c r="K16" s="2" t="inlineStr">
        <is>
          <t>In the final list = 4,933 rows (0.9 s to redraw)</t>
        </is>
      </c>
    </row>
    <row r="17">
      <c r="A17" s="2" t="inlineStr">
        <is>
          <t>CT-14</t>
        </is>
      </c>
      <c r="B17" s="2" t="inlineStr">
        <is>
          <t>Search by name, company or title</t>
        </is>
      </c>
      <c r="C17" s="2" t="inlineStr">
        <is>
          <t>visibleContacts() q</t>
        </is>
      </c>
      <c r="D17" s="2" t="inlineStr">
        <is>
          <t>Functional</t>
        </is>
      </c>
      <c r="E17" s="2" t="inlineStr">
        <is>
          <t>Lead_Research_Sample_Dataset.xlsx</t>
        </is>
      </c>
      <c r="F17" s="2" t="inlineStr">
        <is>
          <t>Type "refin"</t>
        </is>
      </c>
      <c r="G17" s="2" t="inlineStr">
        <is>
          <t>Only matching rows; case-insensitive</t>
        </is>
      </c>
      <c r="H17" s="2" t="inlineStr">
        <is>
          <t>High</t>
        </is>
      </c>
      <c r="I17" s="2" t="inlineStr">
        <is>
          <t>Playwright</t>
        </is>
      </c>
      <c r="J17" s="11" t="inlineStr">
        <is>
          <t>Pass</t>
        </is>
      </c>
      <c r="K17" s="2" t="inlineStr">
        <is>
          <t>877 rows match "refin"</t>
        </is>
      </c>
    </row>
    <row r="18">
      <c r="A18" s="2" t="inlineStr">
        <is>
          <t>CT-15</t>
        </is>
      </c>
      <c r="B18" s="2" t="inlineStr">
        <is>
          <t>Search responsiveness while typing</t>
        </is>
      </c>
      <c r="C18" s="2" t="inlineStr">
        <is>
          <t>toolbar oninput → drawListRows()</t>
        </is>
      </c>
      <c r="D18" s="2" t="inlineStr">
        <is>
          <t>Non-functional · performance</t>
        </is>
      </c>
      <c r="E18" s="2" t="inlineStr">
        <is>
          <t>Lead_Research_Sample_Dataset.xlsx</t>
        </is>
      </c>
      <c r="F18" s="2" t="inlineStr">
        <is>
          <t>Type one character in the search box</t>
        </is>
      </c>
      <c r="G18" s="2" t="inlineStr">
        <is>
          <t>Under 200 ms per keystroke (debounced)</t>
        </is>
      </c>
      <c r="H18" s="2" t="inlineStr">
        <is>
          <t>High</t>
        </is>
      </c>
      <c r="I18" s="2" t="inlineStr">
        <is>
          <t>Playwright + performance.now</t>
        </is>
      </c>
      <c r="J18" s="12" t="inlineStr">
        <is>
          <t>Fail</t>
        </is>
      </c>
      <c r="K18" s="2" t="inlineStr">
        <is>
          <t>2.5 s of script on the first keystroke (redraws ~6,900 rows, no debounce); 14 s end to end in headless Chromium</t>
        </is>
      </c>
    </row>
    <row r="19">
      <c r="A19" s="2" t="inlineStr">
        <is>
          <t>CT-16</t>
        </is>
      </c>
      <c r="B19" s="2" t="inlineStr">
        <is>
          <t>Search with no match shows the empty state</t>
        </is>
      </c>
      <c r="C19" s="2" t="inlineStr">
        <is>
          <t>table() empty</t>
        </is>
      </c>
      <c r="D19" s="2" t="inlineStr">
        <is>
          <t>Functional</t>
        </is>
      </c>
      <c r="E19" s="2" t="inlineStr">
        <is>
          <t>Search "zzzz"</t>
        </is>
      </c>
      <c r="F19" s="2" t="inlineStr">
        <is>
          <t>Type</t>
        </is>
      </c>
      <c r="G19" s="2" t="inlineStr">
        <is>
          <t>"No contacts match."</t>
        </is>
      </c>
      <c r="H19" s="2" t="inlineStr">
        <is>
          <t>Low</t>
        </is>
      </c>
      <c r="I19" s="2" t="inlineStr">
        <is>
          <t>Playwright</t>
        </is>
      </c>
      <c r="J19" s="11" t="inlineStr">
        <is>
          <t>Pass</t>
        </is>
      </c>
      <c r="K19" s="2" t="inlineStr">
        <is>
          <t>Empty state shown</t>
        </is>
      </c>
    </row>
    <row r="20">
      <c r="A20" s="2" t="inlineStr">
        <is>
          <t>CT-17</t>
        </is>
      </c>
      <c r="B20" s="2" t="inlineStr">
        <is>
          <t>Only contacts in the list can be selected</t>
        </is>
      </c>
      <c r="C20" s="2" t="inlineStr">
        <is>
          <t>selectable()</t>
        </is>
      </c>
      <c r="D20" s="2" t="inlineStr">
        <is>
          <t>Functional</t>
        </is>
      </c>
      <c r="E20" s="2" t="inlineStr">
        <is>
          <t>Lead_Research_Sample_Dataset.xlsx</t>
        </is>
      </c>
      <c r="F20" s="2" t="inlineStr">
        <is>
          <t>Look at the checkbox column for excluded / opted-out contacts</t>
        </is>
      </c>
      <c r="G20" s="2" t="inlineStr">
        <is>
          <t>Checkbox only on "In the list" and "Not contactable" rows; "—" on others</t>
        </is>
      </c>
      <c r="H20" s="2" t="inlineStr">
        <is>
          <t>High</t>
        </is>
      </c>
      <c r="I20" s="2" t="inlineStr">
        <is>
          <t>Playwright</t>
        </is>
      </c>
      <c r="J20" s="11" t="inlineStr">
        <is>
          <t>Pass</t>
        </is>
      </c>
      <c r="K20" s="2" t="inlineStr">
        <is>
          <t>Sample: 14 checkboxes for 14 selectable of 17 contacts</t>
        </is>
      </c>
    </row>
    <row r="21">
      <c r="A21" s="2" t="inlineStr">
        <is>
          <t>CT-18</t>
        </is>
      </c>
      <c r="B21" s="2" t="inlineStr">
        <is>
          <t>Select all respects the filter and shows a partial state</t>
        </is>
      </c>
      <c r="C21" s="2" t="inlineStr">
        <is>
          <t>toggleAll(), updateSelBar()</t>
        </is>
      </c>
      <c r="D21" s="2" t="inlineStr">
        <is>
          <t>Functional</t>
        </is>
      </c>
      <c r="E21" s="2" t="inlineStr">
        <is>
          <t>Lead_Research_Sample_Dataset.xlsx</t>
        </is>
      </c>
      <c r="F21" s="2" t="inlineStr">
        <is>
          <t>Filter "In the final list" → select all; then untick one</t>
        </is>
      </c>
      <c r="G21" s="2" t="inlineStr">
        <is>
          <t>All 4,933 selected; header box becomes indeterminate after unticking one</t>
        </is>
      </c>
      <c r="H21" s="2" t="inlineStr">
        <is>
          <t>High</t>
        </is>
      </c>
      <c r="I21" s="2" t="inlineStr">
        <is>
          <t>Playwright</t>
        </is>
      </c>
      <c r="J21" s="11" t="inlineStr">
        <is>
          <t>Pass</t>
        </is>
      </c>
      <c r="K21" s="2" t="inlineStr">
        <is>
          <t>4,933 selected in 1.0 s; button reads "Send 4933 selected to Scoring →"</t>
        </is>
      </c>
    </row>
    <row r="22">
      <c r="A22" s="2" t="inlineStr">
        <is>
          <t>CT-19</t>
        </is>
      </c>
      <c r="B22" s="2" t="inlineStr">
        <is>
          <t>Selection bar count and Clear</t>
        </is>
      </c>
      <c r="C22" s="2" t="inlineStr">
        <is>
          <t>selBar</t>
        </is>
      </c>
      <c r="D22" s="2" t="inlineStr">
        <is>
          <t>Functional</t>
        </is>
      </c>
      <c r="E22" s="2" t="inlineStr">
        <is>
          <t>Select 3 contacts</t>
        </is>
      </c>
      <c r="F22" s="2" t="inlineStr">
        <is>
          <t>Read bar; click Clear</t>
        </is>
      </c>
      <c r="G22" s="2" t="inlineStr">
        <is>
          <t>"3 prospects selected"; Clear empties it</t>
        </is>
      </c>
      <c r="H22" s="2" t="inlineStr">
        <is>
          <t>Medium</t>
        </is>
      </c>
      <c r="I22" s="2" t="inlineStr">
        <is>
          <t>Playwright</t>
        </is>
      </c>
      <c r="J22" s="11" t="inlineStr">
        <is>
          <t>Pass</t>
        </is>
      </c>
      <c r="K22" s="2" t="inlineStr">
        <is>
          <t>As expected</t>
        </is>
      </c>
    </row>
    <row r="23">
      <c r="A23" s="2" t="inlineStr">
        <is>
          <t>CT-20</t>
        </is>
      </c>
      <c r="B23" s="2" t="inlineStr">
        <is>
          <t>Accounts tab: columns, money format, classification reason, knock-out reason</t>
        </is>
      </c>
      <c r="C23" s="2" t="inlineStr">
        <is>
          <t>drawAccRows()</t>
        </is>
      </c>
      <c r="D23" s="2" t="inlineStr">
        <is>
          <t>Functional</t>
        </is>
      </c>
      <c r="E23" s="2" t="inlineStr">
        <is>
          <t>Lead_Research_Sample_Dataset.xlsx</t>
        </is>
      </c>
      <c r="F23" s="2" t="inlineStr">
        <is>
          <t>Open Accounts</t>
        </is>
      </c>
      <c r="G23" s="2" t="inlineStr">
        <is>
          <t>1,443 rows; revenue as USD 2.4bn / USD 850m; excluded rows show the reason</t>
        </is>
      </c>
      <c r="H23" s="2" t="inlineStr">
        <is>
          <t>High</t>
        </is>
      </c>
      <c r="I23" s="2" t="inlineStr">
        <is>
          <t>Playwright</t>
        </is>
      </c>
      <c r="J23" s="11" t="inlineStr">
        <is>
          <t>Pass</t>
        </is>
      </c>
      <c r="K23" s="2" t="inlineStr">
        <is>
          <t>1,443 rows in 0.46 s</t>
        </is>
      </c>
    </row>
    <row r="24">
      <c r="A24" s="2" t="inlineStr">
        <is>
          <t>CT-21</t>
        </is>
      </c>
      <c r="B24" s="2" t="inlineStr">
        <is>
          <t>Accounts filters: Pass / Excluded / Needs review</t>
        </is>
      </c>
      <c r="C24" s="2" t="inlineStr">
        <is>
          <t>drawAccRows() filt</t>
        </is>
      </c>
      <c r="D24" s="2" t="inlineStr">
        <is>
          <t>Functional</t>
        </is>
      </c>
      <c r="E24" s="2" t="inlineStr">
        <is>
          <t>Lead_Research_Sample_Dataset.xlsx</t>
        </is>
      </c>
      <c r="F24" s="2" t="inlineStr">
        <is>
          <t>Click each pill</t>
        </is>
      </c>
      <c r="G24" s="2" t="inlineStr">
        <is>
          <t>Pass 1,168; Excluded 275; Needs review = accounts with no mapping match</t>
        </is>
      </c>
      <c r="H24" s="2" t="inlineStr">
        <is>
          <t>High</t>
        </is>
      </c>
      <c r="I24" s="2" t="inlineStr">
        <is>
          <t>Playwright</t>
        </is>
      </c>
      <c r="J24" s="11" t="inlineStr">
        <is>
          <t>Pass</t>
        </is>
      </c>
      <c r="K24" s="2" t="inlineStr">
        <is>
          <t>Needs review = 854 (59% of accounts)</t>
        </is>
      </c>
    </row>
    <row r="25">
      <c r="A25" s="2" t="inlineStr">
        <is>
          <t>CT-22</t>
        </is>
      </c>
      <c r="B25" s="2" t="inlineStr">
        <is>
          <t>Issue cell shows the first issue, "+N more", and every issue on hover</t>
        </is>
      </c>
      <c r="C25" s="2" t="inlineStr">
        <is>
          <t>issueCell()</t>
        </is>
      </c>
      <c r="D25" s="2" t="inlineStr">
        <is>
          <t>Functional</t>
        </is>
      </c>
      <c r="E25" s="2" t="inlineStr">
        <is>
          <t>Row with 3+ issues</t>
        </is>
      </c>
      <c r="F25" s="2" t="inlineStr">
        <is>
          <t>Hover the cell</t>
        </is>
      </c>
      <c r="G25" s="2" t="inlineStr">
        <is>
          <t>Dot colour = worst severity; tooltip lists all issues with fixes</t>
        </is>
      </c>
      <c r="H25" s="2" t="inlineStr">
        <is>
          <t>Medium</t>
        </is>
      </c>
      <c r="I25" s="2" t="inlineStr">
        <is>
          <t>Playwright title attribute</t>
        </is>
      </c>
      <c r="J25" s="14" t="inlineStr">
        <is>
          <t>Not run</t>
        </is>
      </c>
      <c r="K25" s="2" t="n"/>
    </row>
    <row r="26">
      <c r="A26" s="2" t="inlineStr">
        <is>
          <t>CT-23</t>
        </is>
      </c>
      <c r="B26" s="2" t="inlineStr">
        <is>
          <t>Duplicate issue appears on the row it was merged into</t>
        </is>
      </c>
      <c r="C26" s="2" t="inlineStr">
        <is>
          <t>issuesFor()</t>
        </is>
      </c>
      <c r="D26" s="2" t="inlineStr">
        <is>
          <t>Functional</t>
        </is>
      </c>
      <c r="E26" s="2" t="inlineStr">
        <is>
          <t>Row key DUP-EXACT pair</t>
        </is>
      </c>
      <c r="F26" s="2" t="inlineStr">
        <is>
          <t>Find the original row</t>
        </is>
      </c>
      <c r="G26" s="2" t="inlineStr">
        <is>
          <t>Shows "Duplicate of row N" against the kept row</t>
        </is>
      </c>
      <c r="H26" s="2" t="inlineStr">
        <is>
          <t>Medium</t>
        </is>
      </c>
      <c r="I26" s="2" t="inlineStr">
        <is>
          <t>Playwright</t>
        </is>
      </c>
      <c r="J26" s="14" t="inlineStr">
        <is>
          <t>Not run</t>
        </is>
      </c>
      <c r="K26" s="2" t="n"/>
    </row>
    <row r="27">
      <c r="A27" s="2" t="inlineStr">
        <is>
          <t>CT-24</t>
        </is>
      </c>
      <c r="B27" s="2" t="inlineStr">
        <is>
          <t>Issues for rows not loaded are listed above the table</t>
        </is>
      </c>
      <c r="C27" s="2" t="inlineStr">
        <is>
          <t>unattachedNotice()</t>
        </is>
      </c>
      <c r="D27" s="2" t="inlineStr">
        <is>
          <t>Functional + usability</t>
        </is>
      </c>
      <c r="E27" s="2" t="inlineStr">
        <is>
          <t>Lead_Research_Sample_Dataset.xlsx</t>
        </is>
      </c>
      <c r="F27" s="2" t="inlineStr">
        <is>
          <t>View the list</t>
        </is>
      </c>
      <c r="G27" s="2" t="inlineStr">
        <is>
          <t>Panel lists the rows not loaded</t>
        </is>
      </c>
      <c r="H27" s="2" t="inlineStr">
        <is>
          <t>Medium</t>
        </is>
      </c>
      <c r="I27" s="2" t="inlineStr">
        <is>
          <t>Playwright</t>
        </is>
      </c>
      <c r="J27" s="12" t="inlineStr">
        <is>
          <t>Fail</t>
        </is>
      </c>
      <c r="K27" s="2" t="inlineStr">
        <is>
          <t>289 issues listed one per line in a panel above the table, pushing the list down several screens</t>
        </is>
      </c>
    </row>
    <row r="28">
      <c r="A28" s="2" t="inlineStr">
        <is>
          <t>CT-25</t>
        </is>
      </c>
      <c r="B28" s="2" t="inlineStr">
        <is>
          <t>Save pop-up: default name, Enter to save, Cancel, click outside to close</t>
        </is>
      </c>
      <c r="C28" s="2" t="inlineStr">
        <is>
          <t>openSave(), saveList()</t>
        </is>
      </c>
      <c r="D28" s="2" t="inlineStr">
        <is>
          <t>Functional</t>
        </is>
      </c>
      <c r="E28" s="2" t="inlineStr">
        <is>
          <t>Sample data</t>
        </is>
      </c>
      <c r="F28" s="2" t="inlineStr">
        <is>
          <t>Open Save list; check name; press Enter</t>
        </is>
      </c>
      <c r="G28" s="2" t="inlineStr">
        <is>
          <t>Name = file name · date; saved; toast "Saved as …"</t>
        </is>
      </c>
      <c r="H28" s="2" t="inlineStr">
        <is>
          <t>High</t>
        </is>
      </c>
      <c r="I28" s="2" t="inlineStr">
        <is>
          <t>Playwright</t>
        </is>
      </c>
      <c r="J28" s="11" t="inlineStr">
        <is>
          <t>Pass</t>
        </is>
      </c>
      <c r="K28" s="2" t="inlineStr">
        <is>
          <t>Works for the sample and for 50 selected rows</t>
        </is>
      </c>
    </row>
    <row r="29">
      <c r="A29" s="2" t="inlineStr">
        <is>
          <t>CT-26</t>
        </is>
      </c>
      <c r="B29" s="2" t="inlineStr">
        <is>
          <t>Save the full screened list from a 7.5k-row file</t>
        </is>
      </c>
      <c r="C29" s="2" t="inlineStr">
        <is>
          <t>saveList() → localStorage</t>
        </is>
      </c>
      <c r="D29" s="2" t="inlineStr">
        <is>
          <t>Non-functional · capacity / reliability</t>
        </is>
      </c>
      <c r="E29" s="2" t="inlineStr">
        <is>
          <t>Lead_Research_Sample_Dataset.xlsx</t>
        </is>
      </c>
      <c r="F29" s="2" t="inlineStr">
        <is>
          <t>View the list → Save list → Save</t>
        </is>
      </c>
      <c r="G29" s="2" t="inlineStr">
        <is>
          <t>List saved, or a clear message about the size limit</t>
        </is>
      </c>
      <c r="H29" s="2" t="inlineStr">
        <is>
          <t>Critical</t>
        </is>
      </c>
      <c r="I29" s="2" t="inlineStr">
        <is>
          <t>Playwright</t>
        </is>
      </c>
      <c r="J29" s="12" t="inlineStr">
        <is>
          <t>Fail</t>
        </is>
      </c>
      <c r="K29" s="2" t="inlineStr">
        <is>
          <t>Not saved: the list is 8.1 MB, more than the ~5 MB localStorage limit. Message wrongly says "This browser blocks storage… Allow site data"; pop-up stays open</t>
        </is>
      </c>
    </row>
    <row r="30">
      <c r="A30" s="2" t="inlineStr">
        <is>
          <t>CT-27</t>
        </is>
      </c>
      <c r="B30" s="2" t="inlineStr">
        <is>
          <t>Saved lists tab: list appears with counts, rename, delete</t>
        </is>
      </c>
      <c r="C30" s="2" t="inlineStr">
        <is>
          <t>renderStart("saved"), startRename(), removeList()</t>
        </is>
      </c>
      <c r="D30" s="2" t="inlineStr">
        <is>
          <t>Functional</t>
        </is>
      </c>
      <c r="E30" s="2" t="inlineStr">
        <is>
          <t>One saved list</t>
        </is>
      </c>
      <c r="F30" s="2" t="inlineStr">
        <is>
          <t>Open Saved lists; rename (Enter and Escape); delete</t>
        </is>
      </c>
      <c r="G30" s="2" t="inlineStr">
        <is>
          <t>Counts shown; rename saved on Enter, cancelled on Escape; delete removes it</t>
        </is>
      </c>
      <c r="H30" s="2" t="inlineStr">
        <is>
          <t>High</t>
        </is>
      </c>
      <c r="I30" s="2" t="inlineStr">
        <is>
          <t>Playwright</t>
        </is>
      </c>
      <c r="J30" s="11" t="inlineStr">
        <is>
          <t>Pass</t>
        </is>
      </c>
      <c r="K30" s="2" t="inlineStr">
        <is>
          <t>Saved list shown with counts; rename and delete not run</t>
        </is>
      </c>
    </row>
    <row r="31">
      <c r="A31" s="2" t="inlineStr">
        <is>
          <t>CT-28</t>
        </is>
      </c>
      <c r="B31" s="2" t="inlineStr">
        <is>
          <t>"Score →" and "Save and go to Scoring" open Scoring with the list id</t>
        </is>
      </c>
      <c r="C31" s="2" t="inlineStr">
        <is>
          <t>saveList(true)</t>
        </is>
      </c>
      <c r="D31" s="2" t="inlineStr">
        <is>
          <t>Functional</t>
        </is>
      </c>
      <c r="E31" s="2" t="inlineStr">
        <is>
          <t>Saved list</t>
        </is>
      </c>
      <c r="F31" s="2" t="inlineStr">
        <is>
          <t>Click Score →</t>
        </is>
      </c>
      <c r="G31" s="2" t="inlineStr">
        <is>
          <t>11-scoring.html?list=&lt;id&gt;</t>
        </is>
      </c>
      <c r="H31" s="2" t="inlineStr">
        <is>
          <t>High</t>
        </is>
      </c>
      <c r="I31" s="2" t="inlineStr">
        <is>
          <t>Playwright waitForURL</t>
        </is>
      </c>
      <c r="J31" s="11" t="inlineStr">
        <is>
          <t>Pass</t>
        </is>
      </c>
      <c r="K31" s="2" t="inlineStr">
        <is>
          <t>Opened 11-scoring.html?list=list-…</t>
        </is>
      </c>
    </row>
    <row r="32">
      <c r="A32" s="2" t="inlineStr">
        <is>
          <t>CT-29</t>
        </is>
      </c>
      <c r="B32" s="2" t="inlineStr">
        <is>
          <t>Save buttons disabled when no account passes</t>
        </is>
      </c>
      <c r="C32" s="2" t="inlineStr">
        <is>
          <t>renderRun()</t>
        </is>
      </c>
      <c r="D32" s="2" t="inlineStr">
        <is>
          <t>Functional</t>
        </is>
      </c>
      <c r="E32" s="2" t="inlineStr">
        <is>
          <t>CSV with no recognisable header</t>
        </is>
      </c>
      <c r="F32" s="2" t="inlineStr">
        <is>
          <t>Upload; view the list</t>
        </is>
      </c>
      <c r="G32" s="2" t="inlineStr">
        <is>
          <t>Save list and Go to Scoring disabled</t>
        </is>
      </c>
      <c r="H32" s="2" t="inlineStr">
        <is>
          <t>Medium</t>
        </is>
      </c>
      <c r="I32" s="2" t="inlineStr">
        <is>
          <t>Playwright</t>
        </is>
      </c>
      <c r="J32" s="11" t="inlineStr">
        <is>
          <t>Pass</t>
        </is>
      </c>
      <c r="K32" s="2" t="inlineStr">
        <is>
          <t>Disabled</t>
        </is>
      </c>
    </row>
    <row r="33">
      <c r="A33" s="2" t="inlineStr">
        <is>
          <t>CT-30</t>
        </is>
      </c>
      <c r="B33" s="2" t="inlineStr">
        <is>
          <t>Script in file contents is shown as text, not run</t>
        </is>
      </c>
      <c r="C33" s="2" t="inlineStr">
        <is>
          <t>esc() in every renderer</t>
        </is>
      </c>
      <c r="D33" s="2" t="inlineStr">
        <is>
          <t>Non-functional · security</t>
        </is>
      </c>
      <c r="E33" s="2" t="inlineStr">
        <is>
          <t>CSV with &lt;img onerror&gt; and &lt;script&gt; in name and company</t>
        </is>
      </c>
      <c r="F33" s="2" t="inlineStr">
        <is>
          <t>Upload; view list and accounts</t>
        </is>
      </c>
      <c r="G33" s="2" t="inlineStr">
        <is>
          <t>Text displayed literally; nothing runs</t>
        </is>
      </c>
      <c r="H33" s="2" t="inlineStr">
        <is>
          <t>Critical</t>
        </is>
      </c>
      <c r="I33" s="2" t="inlineStr">
        <is>
          <t>Playwright</t>
        </is>
      </c>
      <c r="J33" s="11" t="inlineStr">
        <is>
          <t>Pass</t>
        </is>
      </c>
      <c r="K33" s="2" t="inlineStr">
        <is>
          <t>No script executed</t>
        </is>
      </c>
    </row>
    <row r="34">
      <c r="A34" s="2" t="inlineStr">
        <is>
          <t>CT-31</t>
        </is>
      </c>
      <c r="B34" s="2" t="inlineStr">
        <is>
          <t>Download lead template</t>
        </is>
      </c>
      <c r="C34" s="2" t="inlineStr">
        <is>
          <t>downloadTemplate()</t>
        </is>
      </c>
      <c r="D34" s="2" t="inlineStr">
        <is>
          <t>Functional</t>
        </is>
      </c>
      <c r="E34" s="2" t="inlineStr">
        <is>
          <t>—</t>
        </is>
      </c>
      <c r="F34" s="2" t="inlineStr">
        <is>
          <t>Click "Download lead template (.csv)"</t>
        </is>
      </c>
      <c r="G34" s="2" t="inlineStr">
        <is>
          <t>lead_template.csv with the 24 column names</t>
        </is>
      </c>
      <c r="H34" s="2" t="inlineStr">
        <is>
          <t>Medium</t>
        </is>
      </c>
      <c r="I34" s="2" t="inlineStr">
        <is>
          <t>Playwright waitForEvent("download")</t>
        </is>
      </c>
      <c r="J34" s="11" t="inlineStr">
        <is>
          <t>Pass</t>
        </is>
      </c>
      <c r="K34" s="2" t="inlineStr">
        <is>
          <t>lead_template.csv downloaded</t>
        </is>
      </c>
    </row>
    <row r="35">
      <c r="A35" s="2" t="inlineStr">
        <is>
          <t>CT-32</t>
        </is>
      </c>
      <c r="B35" s="2" t="inlineStr">
        <is>
          <t>Role switcher hides the page for roles without access</t>
        </is>
      </c>
      <c r="C35" s="2" t="inlineStr">
        <is>
          <t>applyRoleToNav()</t>
        </is>
      </c>
      <c r="D35" s="2" t="inlineStr">
        <is>
          <t>Functional + security</t>
        </is>
      </c>
      <c r="E35" s="2" t="inlineStr">
        <is>
          <t>Role Viewer, then Sales rep</t>
        </is>
      </c>
      <c r="F35" s="2" t="inlineStr">
        <is>
          <t>Switch role (demo) → Viewer; reload</t>
        </is>
      </c>
      <c r="G35" s="2" t="inlineStr">
        <is>
          <t>Viewer sees "Not available for this role"; Sales rep sees the page</t>
        </is>
      </c>
      <c r="H35" s="2" t="inlineStr">
        <is>
          <t>Medium</t>
        </is>
      </c>
      <c r="I35" s="2" t="inlineStr">
        <is>
          <t>Playwright</t>
        </is>
      </c>
      <c r="J35" s="11" t="inlineStr">
        <is>
          <t>Pass</t>
        </is>
      </c>
      <c r="K35" s="2" t="inlineStr">
        <is>
          <t>As expected</t>
        </is>
      </c>
    </row>
    <row r="36">
      <c r="A36" s="2" t="inlineStr">
        <is>
          <t>CT-33</t>
        </is>
      </c>
      <c r="B36" s="2" t="inlineStr">
        <is>
          <t>Keyboard access: upload, tabs, filter pills</t>
        </is>
      </c>
      <c r="C36" s="2" t="inlineStr">
        <is>
          <t>dropZone, .ftab, .seg-pill</t>
        </is>
      </c>
      <c r="D36" s="2" t="inlineStr">
        <is>
          <t>Non-functional · accessibility</t>
        </is>
      </c>
      <c r="E36" s="2" t="inlineStr">
        <is>
          <t>—</t>
        </is>
      </c>
      <c r="F36" s="2" t="inlineStr">
        <is>
          <t>Tab through the page; try to upload without a mouse</t>
        </is>
      </c>
      <c r="G36" s="2" t="inlineStr">
        <is>
          <t>Every control reachable and operable by keyboard</t>
        </is>
      </c>
      <c r="H36" s="2" t="inlineStr">
        <is>
          <t>High</t>
        </is>
      </c>
      <c r="I36" s="2" t="inlineStr">
        <is>
          <t>Playwright keyboard + axe-core</t>
        </is>
      </c>
      <c r="J36" s="12" t="inlineStr">
        <is>
          <t>Fail</t>
        </is>
      </c>
      <c r="K36" s="2" t="inlineStr">
        <is>
          <t>Drop zone not focusable (file input is display:none); tabs and filter pills are &lt;div onclick&gt;, not buttons</t>
        </is>
      </c>
    </row>
  </sheetData>
  <autoFilter ref="A3:K36"/>
  <dataValidations count="1">
    <dataValidation sqref="J4:J36" showDropDown="0" showInputMessage="0" showErrorMessage="0" allowBlank="1" type="list">
      <formula1>"Pass,Fail,Gap,Not run,Blocked"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30" customWidth="1" min="3" max="3"/>
    <col width="24" customWidth="1" min="4" max="4"/>
    <col width="40" customWidth="1" min="5" max="5"/>
    <col width="34" customWidth="1" min="6" max="6"/>
    <col width="48" customWidth="1" min="7" max="7"/>
    <col width="10" customWidth="1" min="8" max="8"/>
    <col width="30" customWidth="1" min="9" max="9"/>
    <col width="14" customWidth="1" min="10" max="10"/>
    <col width="56" customWidth="1" min="11" max="11"/>
  </cols>
  <sheetData>
    <row r="1">
      <c r="A1" s="4" t="inlineStr">
        <is>
          <t>Smoke tests · A short, fast run over the critical path to decide whether a build is worth testing further. Stop at the first failure.</t>
        </is>
      </c>
    </row>
    <row r="3">
      <c r="A3" s="3" t="inlineStr">
        <is>
          <t>ID</t>
        </is>
      </c>
      <c r="B3" s="3" t="inlineStr">
        <is>
          <t>Test case</t>
        </is>
      </c>
      <c r="C3" s="3" t="inlineStr">
        <is>
          <t>Function / component under test</t>
        </is>
      </c>
      <c r="D3" s="3" t="inlineStr">
        <is>
          <t>Aspect</t>
        </is>
      </c>
      <c r="E3" s="3" t="inlineStr">
        <is>
          <t>Preconditions and test data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How to automate</t>
        </is>
      </c>
      <c r="J3" s="3" t="inlineStr">
        <is>
          <t>First run (3 Oct 2026)</t>
        </is>
      </c>
      <c r="K3" s="3" t="inlineStr">
        <is>
          <t>Observed</t>
        </is>
      </c>
    </row>
    <row r="4">
      <c r="A4" s="2" t="inlineStr">
        <is>
          <t>SM-01</t>
        </is>
      </c>
      <c r="B4" s="2" t="inlineStr">
        <is>
          <t>Page opens without script errors</t>
        </is>
      </c>
      <c r="C4" s="2" t="inlineStr">
        <is>
          <t>Page load</t>
        </is>
      </c>
      <c r="D4" s="2" t="inlineStr">
        <is>
          <t>Functional</t>
        </is>
      </c>
      <c r="E4" s="2" t="inlineStr">
        <is>
          <t>Network on</t>
        </is>
      </c>
      <c r="F4" s="2" t="inlineStr">
        <is>
          <t>Open 10-prospecting.html</t>
        </is>
      </c>
      <c r="G4" s="2" t="inlineStr">
        <is>
          <t>No console errors other than blocked fonts</t>
        </is>
      </c>
      <c r="H4" s="2" t="inlineStr">
        <is>
          <t>Critical</t>
        </is>
      </c>
      <c r="I4" s="2" t="inlineStr">
        <is>
          <t>Playwright console listener</t>
        </is>
      </c>
      <c r="J4" s="11" t="inlineStr">
        <is>
          <t>Pass</t>
        </is>
      </c>
      <c r="K4" s="2" t="inlineStr">
        <is>
          <t>Only font requests failed (blocked in the test)</t>
        </is>
      </c>
    </row>
    <row r="5">
      <c r="A5" s="2" t="inlineStr">
        <is>
          <t>SM-02</t>
        </is>
      </c>
      <c r="B5" s="2" t="inlineStr">
        <is>
          <t>Page title and heading</t>
        </is>
      </c>
      <c r="C5" s="2" t="inlineStr">
        <is>
          <t>Page load</t>
        </is>
      </c>
      <c r="D5" s="2" t="inlineStr">
        <is>
          <t>Functional</t>
        </is>
      </c>
      <c r="E5" s="2" t="inlineStr">
        <is>
          <t>—</t>
        </is>
      </c>
      <c r="F5" s="2" t="inlineStr">
        <is>
          <t>Read title and topbar</t>
        </is>
      </c>
      <c r="G5" s="2" t="inlineStr">
        <is>
          <t>"Prospecting — DemandAI Pilot"; "Lead discovery and research"</t>
        </is>
      </c>
      <c r="H5" s="2" t="inlineStr">
        <is>
          <t>High</t>
        </is>
      </c>
      <c r="I5" s="2" t="inlineStr">
        <is>
          <t>Playwright</t>
        </is>
      </c>
      <c r="J5" s="11" t="inlineStr">
        <is>
          <t>Pass</t>
        </is>
      </c>
      <c r="K5" s="2" t="n"/>
    </row>
    <row r="6">
      <c r="A6" s="2" t="inlineStr">
        <is>
          <t>SM-03</t>
        </is>
      </c>
      <c r="B6" s="2" t="inlineStr">
        <is>
          <t>Page loads quickly</t>
        </is>
      </c>
      <c r="C6" s="2" t="inlineStr">
        <is>
          <t>Page load</t>
        </is>
      </c>
      <c r="D6" s="2" t="inlineStr">
        <is>
          <t>Non-functional · performance</t>
        </is>
      </c>
      <c r="E6" s="2" t="inlineStr">
        <is>
          <t>—</t>
        </is>
      </c>
      <c r="F6" s="2" t="inlineStr">
        <is>
          <t>Measure load</t>
        </is>
      </c>
      <c r="G6" s="2" t="inlineStr">
        <is>
          <t>Under 2 s</t>
        </is>
      </c>
      <c r="H6" s="2" t="inlineStr">
        <is>
          <t>High</t>
        </is>
      </c>
      <c r="I6" s="2" t="inlineStr">
        <is>
          <t>Playwright</t>
        </is>
      </c>
      <c r="J6" s="11" t="inlineStr">
        <is>
          <t>Pass</t>
        </is>
      </c>
      <c r="K6" s="2" t="inlineStr">
        <is>
          <t>162 ms (local file)</t>
        </is>
      </c>
    </row>
    <row r="7">
      <c r="A7" s="2" t="inlineStr">
        <is>
          <t>SM-04</t>
        </is>
      </c>
      <c r="B7" s="2" t="inlineStr">
        <is>
          <t>Excel library loads from the CDN</t>
        </is>
      </c>
      <c r="C7" s="2" t="inlineStr">
        <is>
          <t>xlsx.full.min.js</t>
        </is>
      </c>
      <c r="D7" s="2" t="inlineStr">
        <is>
          <t>Non-functional · availability</t>
        </is>
      </c>
      <c r="E7" s="2" t="inlineStr">
        <is>
          <t>Real network</t>
        </is>
      </c>
      <c r="F7" s="2" t="inlineStr">
        <is>
          <t>Check window.XLSX</t>
        </is>
      </c>
      <c r="G7" s="2" t="inlineStr">
        <is>
          <t>Defined</t>
        </is>
      </c>
      <c r="H7" s="2" t="inlineStr">
        <is>
          <t>Critical</t>
        </is>
      </c>
      <c r="I7" s="2" t="inlineStr">
        <is>
          <t>Playwright</t>
        </is>
      </c>
      <c r="J7" s="14" t="inlineStr">
        <is>
          <t>Not run</t>
        </is>
      </c>
      <c r="K7" s="2" t="inlineStr">
        <is>
          <t>Served locally in this run</t>
        </is>
      </c>
    </row>
    <row r="8">
      <c r="A8" s="2" t="inlineStr">
        <is>
          <t>SM-05</t>
        </is>
      </c>
      <c r="B8" s="2" t="inlineStr">
        <is>
          <t>Upload zone, sample button and template button visible</t>
        </is>
      </c>
      <c r="C8" s="2" t="inlineStr">
        <is>
          <t>renderStart()</t>
        </is>
      </c>
      <c r="D8" s="2" t="inlineStr">
        <is>
          <t>Functional</t>
        </is>
      </c>
      <c r="E8" s="2" t="inlineStr">
        <is>
          <t>—</t>
        </is>
      </c>
      <c r="F8" s="2" t="inlineStr">
        <is>
          <t>Look</t>
        </is>
      </c>
      <c r="G8" s="2" t="inlineStr">
        <is>
          <t>All three visible</t>
        </is>
      </c>
      <c r="H8" s="2" t="inlineStr">
        <is>
          <t>Critical</t>
        </is>
      </c>
      <c r="I8" s="2" t="inlineStr">
        <is>
          <t>Playwright</t>
        </is>
      </c>
      <c r="J8" s="11" t="inlineStr">
        <is>
          <t>Pass</t>
        </is>
      </c>
      <c r="K8" s="2" t="n"/>
    </row>
    <row r="9">
      <c r="A9" s="2" t="inlineStr">
        <is>
          <t>SM-06</t>
        </is>
      </c>
      <c r="B9" s="2" t="inlineStr">
        <is>
          <t>Sample data runs end to end</t>
        </is>
      </c>
      <c r="C9" s="2" t="inlineStr">
        <is>
          <t>useSample()</t>
        </is>
      </c>
      <c r="D9" s="2" t="inlineStr">
        <is>
          <t>Functional</t>
        </is>
      </c>
      <c r="E9" s="2" t="inlineStr">
        <is>
          <t>Built-in sample</t>
        </is>
      </c>
      <c r="F9" s="2" t="inlineStr">
        <is>
          <t>Click Use sample data</t>
        </is>
      </c>
      <c r="G9" s="2" t="inlineStr">
        <is>
          <t>6 issues · 9 of 12 accounts pass · 14 contacts in the list</t>
        </is>
      </c>
      <c r="H9" s="2" t="inlineStr">
        <is>
          <t>Critical</t>
        </is>
      </c>
      <c r="I9" s="2" t="inlineStr">
        <is>
          <t>Playwright</t>
        </is>
      </c>
      <c r="J9" s="11" t="inlineStr">
        <is>
          <t>Pass</t>
        </is>
      </c>
      <c r="K9" s="2" t="inlineStr">
        <is>
          <t>Exact match</t>
        </is>
      </c>
    </row>
    <row r="10">
      <c r="A10" s="2" t="inlineStr">
        <is>
          <t>SM-07</t>
        </is>
      </c>
      <c r="B10" s="2" t="inlineStr">
        <is>
          <t>Generated dataset uploads</t>
        </is>
      </c>
      <c r="C10" s="2" t="inlineStr">
        <is>
          <t>onFile()</t>
        </is>
      </c>
      <c r="D10" s="2" t="inlineStr">
        <is>
          <t>Functional</t>
        </is>
      </c>
      <c r="E10" s="2" t="inlineStr">
        <is>
          <t>Lead_Research_Sample_Dataset.xlsx</t>
        </is>
      </c>
      <c r="F10" s="2" t="inlineStr">
        <is>
          <t>Upload</t>
        </is>
      </c>
      <c r="G10" s="2" t="inlineStr">
        <is>
          <t>Checks pop-up opens</t>
        </is>
      </c>
      <c r="H10" s="2" t="inlineStr">
        <is>
          <t>Critical</t>
        </is>
      </c>
      <c r="I10" s="2" t="inlineStr">
        <is>
          <t>Playwright</t>
        </is>
      </c>
      <c r="J10" s="11" t="inlineStr">
        <is>
          <t>Pass</t>
        </is>
      </c>
      <c r="K10" s="2" t="n"/>
    </row>
    <row r="11">
      <c r="A11" s="2" t="inlineStr">
        <is>
          <t>SM-08</t>
        </is>
      </c>
      <c r="B11" s="2" t="inlineStr">
        <is>
          <t>Correct sheet picked from the workbook</t>
        </is>
      </c>
      <c r="C11" s="2" t="inlineStr">
        <is>
          <t>pickSheet()</t>
        </is>
      </c>
      <c r="D11" s="2" t="inlineStr">
        <is>
          <t>Functional</t>
        </is>
      </c>
      <c r="E11" s="2" t="inlineStr">
        <is>
          <t>Lead_Research_Sample_Dataset.xlsx</t>
        </is>
      </c>
      <c r="F11" s="2" t="inlineStr">
        <is>
          <t>Read the sheet badge</t>
        </is>
      </c>
      <c r="G11" s="2" t="inlineStr">
        <is>
          <t>"Lead template"</t>
        </is>
      </c>
      <c r="H11" s="2" t="inlineStr">
        <is>
          <t>Critical</t>
        </is>
      </c>
      <c r="I11" s="2" t="inlineStr">
        <is>
          <t>Playwright</t>
        </is>
      </c>
      <c r="J11" s="11" t="inlineStr">
        <is>
          <t>Pass</t>
        </is>
      </c>
      <c r="K11" s="2" t="n"/>
    </row>
    <row r="12">
      <c r="A12" s="2" t="inlineStr">
        <is>
          <t>SM-09</t>
        </is>
      </c>
      <c r="B12" s="2" t="inlineStr">
        <is>
          <t>All rows read</t>
        </is>
      </c>
      <c r="C12" s="2" t="inlineStr">
        <is>
          <t>processLeads()</t>
        </is>
      </c>
      <c r="D12" s="2" t="inlineStr">
        <is>
          <t>Functional</t>
        </is>
      </c>
      <c r="E12" s="2" t="inlineStr">
        <is>
          <t>Lead_Research_Sample_Dataset.xlsx</t>
        </is>
      </c>
      <c r="F12" s="2" t="inlineStr">
        <is>
          <t>Read "Rows read"</t>
        </is>
      </c>
      <c r="G12" s="2" t="inlineStr">
        <is>
          <t>7,498</t>
        </is>
      </c>
      <c r="H12" s="2" t="inlineStr">
        <is>
          <t>Critical</t>
        </is>
      </c>
      <c r="I12" s="2" t="inlineStr">
        <is>
          <t>Playwright</t>
        </is>
      </c>
      <c r="J12" s="11" t="inlineStr">
        <is>
          <t>Pass</t>
        </is>
      </c>
      <c r="K12" s="2" t="n"/>
    </row>
    <row r="13">
      <c r="A13" s="2" t="inlineStr">
        <is>
          <t>SM-10</t>
        </is>
      </c>
      <c r="B13" s="2" t="inlineStr">
        <is>
          <t>Checks complete</t>
        </is>
      </c>
      <c r="C13" s="2" t="inlineStr">
        <is>
          <t>openChecks()</t>
        </is>
      </c>
      <c r="D13" s="2" t="inlineStr">
        <is>
          <t>Functional</t>
        </is>
      </c>
      <c r="E13" s="2" t="inlineStr">
        <is>
          <t>Lead_Research_Sample_Dataset.xlsx</t>
        </is>
      </c>
      <c r="F13" s="2" t="inlineStr">
        <is>
          <t>Wait for "View the list →"</t>
        </is>
      </c>
      <c r="G13" s="2" t="inlineStr">
        <is>
          <t>Footer shows totals</t>
        </is>
      </c>
      <c r="H13" s="2" t="inlineStr">
        <is>
          <t>Critical</t>
        </is>
      </c>
      <c r="I13" s="2" t="inlineStr">
        <is>
          <t>Playwright</t>
        </is>
      </c>
      <c r="J13" s="11" t="inlineStr">
        <is>
          <t>Pass</t>
        </is>
      </c>
      <c r="K13" s="2" t="inlineStr">
        <is>
          <t>6.4 s</t>
        </is>
      </c>
    </row>
    <row r="14">
      <c r="A14" s="2" t="inlineStr">
        <is>
          <t>SM-11</t>
        </is>
      </c>
      <c r="B14" s="2" t="inlineStr">
        <is>
          <t>Issues found on a dirty file</t>
        </is>
      </c>
      <c r="C14" s="2" t="inlineStr">
        <is>
          <t>processLeads()</t>
        </is>
      </c>
      <c r="D14" s="2" t="inlineStr">
        <is>
          <t>Functional</t>
        </is>
      </c>
      <c r="E14" s="2" t="inlineStr">
        <is>
          <t>Lead_Research_Sample_Dataset.xlsx</t>
        </is>
      </c>
      <c r="F14" s="2" t="inlineStr">
        <is>
          <t>Read Issues card</t>
        </is>
      </c>
      <c r="G14" s="2" t="inlineStr">
        <is>
          <t>&gt; 0, with stop / flag / info split</t>
        </is>
      </c>
      <c r="H14" s="2" t="inlineStr">
        <is>
          <t>High</t>
        </is>
      </c>
      <c r="I14" s="2" t="inlineStr">
        <is>
          <t>Playwright</t>
        </is>
      </c>
      <c r="J14" s="11" t="inlineStr">
        <is>
          <t>Pass</t>
        </is>
      </c>
      <c r="K14" s="2" t="inlineStr">
        <is>
          <t>45 stop · 3,629 flag · 3,708 info</t>
        </is>
      </c>
    </row>
    <row r="15">
      <c r="A15" s="2" t="inlineStr">
        <is>
          <t>SM-12</t>
        </is>
      </c>
      <c r="B15" s="2" t="inlineStr">
        <is>
          <t>Final list opens</t>
        </is>
      </c>
      <c r="C15" s="2" t="inlineStr">
        <is>
          <t>renderRun()</t>
        </is>
      </c>
      <c r="D15" s="2" t="inlineStr">
        <is>
          <t>Functional</t>
        </is>
      </c>
      <c r="E15" s="2" t="inlineStr">
        <is>
          <t>Lead_Research_Sample_Dataset.xlsx</t>
        </is>
      </c>
      <c r="F15" s="2" t="inlineStr">
        <is>
          <t>Click View the list</t>
        </is>
      </c>
      <c r="G15" s="2" t="inlineStr">
        <is>
          <t>Table with rows</t>
        </is>
      </c>
      <c r="H15" s="2" t="inlineStr">
        <is>
          <t>Critical</t>
        </is>
      </c>
      <c r="I15" s="2" t="inlineStr">
        <is>
          <t>Playwright</t>
        </is>
      </c>
      <c r="J15" s="11" t="inlineStr">
        <is>
          <t>Pass</t>
        </is>
      </c>
      <c r="K15" s="2" t="inlineStr">
        <is>
          <t>Slow: 7.3 s</t>
        </is>
      </c>
    </row>
    <row r="16">
      <c r="A16" s="2" t="inlineStr">
        <is>
          <t>SM-13</t>
        </is>
      </c>
      <c r="B16" s="2" t="inlineStr">
        <is>
          <t>Some accounts pass and some are excluded</t>
        </is>
      </c>
      <c r="C16" s="2" t="inlineStr">
        <is>
          <t>buildAccounts()</t>
        </is>
      </c>
      <c r="D16" s="2" t="inlineStr">
        <is>
          <t>Functional</t>
        </is>
      </c>
      <c r="E16" s="2" t="inlineStr">
        <is>
          <t>Lead_Research_Sample_Dataset.xlsx</t>
        </is>
      </c>
      <c r="F16" s="2" t="inlineStr">
        <is>
          <t>Read Accounts / Excluded cards</t>
        </is>
      </c>
      <c r="G16" s="2" t="inlineStr">
        <is>
          <t>Both non-zero</t>
        </is>
      </c>
      <c r="H16" s="2" t="inlineStr">
        <is>
          <t>High</t>
        </is>
      </c>
      <c r="I16" s="2" t="inlineStr">
        <is>
          <t>Playwright</t>
        </is>
      </c>
      <c r="J16" s="11" t="inlineStr">
        <is>
          <t>Pass</t>
        </is>
      </c>
      <c r="K16" s="2" t="inlineStr">
        <is>
          <t>1,168 pass · 275 excluded</t>
        </is>
      </c>
    </row>
    <row r="17">
      <c r="A17" s="2" t="inlineStr">
        <is>
          <t>SM-14</t>
        </is>
      </c>
      <c r="B17" s="2" t="inlineStr">
        <is>
          <t>Accounts tab opens</t>
        </is>
      </c>
      <c r="C17" s="2" t="inlineStr">
        <is>
          <t>renderAccountsTab()</t>
        </is>
      </c>
      <c r="D17" s="2" t="inlineStr">
        <is>
          <t>Functional</t>
        </is>
      </c>
      <c r="E17" s="2" t="inlineStr">
        <is>
          <t>Lead_Research_Sample_Dataset.xlsx</t>
        </is>
      </c>
      <c r="F17" s="2" t="inlineStr">
        <is>
          <t>Click Accounts</t>
        </is>
      </c>
      <c r="G17" s="2" t="inlineStr">
        <is>
          <t>Table with 1,443 rows</t>
        </is>
      </c>
      <c r="H17" s="2" t="inlineStr">
        <is>
          <t>High</t>
        </is>
      </c>
      <c r="I17" s="2" t="inlineStr">
        <is>
          <t>Playwright</t>
        </is>
      </c>
      <c r="J17" s="11" t="inlineStr">
        <is>
          <t>Pass</t>
        </is>
      </c>
      <c r="K17" s="2" t="n"/>
    </row>
    <row r="18">
      <c r="A18" s="2" t="inlineStr">
        <is>
          <t>SM-15</t>
        </is>
      </c>
      <c r="B18" s="2" t="inlineStr">
        <is>
          <t>A filter works</t>
        </is>
      </c>
      <c r="C18" s="2" t="inlineStr">
        <is>
          <t>Filter pills</t>
        </is>
      </c>
      <c r="D18" s="2" t="inlineStr">
        <is>
          <t>Functional</t>
        </is>
      </c>
      <c r="E18" s="2" t="inlineStr">
        <is>
          <t>Lead_Research_Sample_Dataset.xlsx</t>
        </is>
      </c>
      <c r="F18" s="2" t="inlineStr">
        <is>
          <t>Click "In the final list"</t>
        </is>
      </c>
      <c r="G18" s="2" t="inlineStr">
        <is>
          <t>4,933 rows</t>
        </is>
      </c>
      <c r="H18" s="2" t="inlineStr">
        <is>
          <t>High</t>
        </is>
      </c>
      <c r="I18" s="2" t="inlineStr">
        <is>
          <t>Playwright</t>
        </is>
      </c>
      <c r="J18" s="11" t="inlineStr">
        <is>
          <t>Pass</t>
        </is>
      </c>
      <c r="K18" s="2" t="n"/>
    </row>
    <row r="19">
      <c r="A19" s="2" t="inlineStr">
        <is>
          <t>SM-16</t>
        </is>
      </c>
      <c r="B19" s="2" t="inlineStr">
        <is>
          <t>Search works</t>
        </is>
      </c>
      <c r="C19" s="2" t="inlineStr">
        <is>
          <t>Search box</t>
        </is>
      </c>
      <c r="D19" s="2" t="inlineStr">
        <is>
          <t>Functional</t>
        </is>
      </c>
      <c r="E19" s="2" t="inlineStr">
        <is>
          <t>Lead_Research_Sample_Dataset.xlsx</t>
        </is>
      </c>
      <c r="F19" s="2" t="inlineStr">
        <is>
          <t>Type a company name</t>
        </is>
      </c>
      <c r="G19" s="2" t="inlineStr">
        <is>
          <t>Rows narrow to that company</t>
        </is>
      </c>
      <c r="H19" s="2" t="inlineStr">
        <is>
          <t>High</t>
        </is>
      </c>
      <c r="I19" s="2" t="inlineStr">
        <is>
          <t>Playwright</t>
        </is>
      </c>
      <c r="J19" s="11" t="inlineStr">
        <is>
          <t>Pass</t>
        </is>
      </c>
      <c r="K19" s="2" t="n"/>
    </row>
    <row r="20">
      <c r="A20" s="2" t="inlineStr">
        <is>
          <t>SM-17</t>
        </is>
      </c>
      <c r="B20" s="2" t="inlineStr">
        <is>
          <t>Select a contact</t>
        </is>
      </c>
      <c r="C20" s="2" t="inlineStr">
        <is>
          <t>Checkbox</t>
        </is>
      </c>
      <c r="D20" s="2" t="inlineStr">
        <is>
          <t>Functional</t>
        </is>
      </c>
      <c r="E20" s="2" t="inlineStr">
        <is>
          <t>Lead_Research_Sample_Dataset.xlsx</t>
        </is>
      </c>
      <c r="F20" s="2" t="inlineStr">
        <is>
          <t>Tick one row</t>
        </is>
      </c>
      <c r="G20" s="2" t="inlineStr">
        <is>
          <t>Bar shows "1 prospect selected"</t>
        </is>
      </c>
      <c r="H20" s="2" t="inlineStr">
        <is>
          <t>High</t>
        </is>
      </c>
      <c r="I20" s="2" t="inlineStr">
        <is>
          <t>Playwright</t>
        </is>
      </c>
      <c r="J20" s="11" t="inlineStr">
        <is>
          <t>Pass</t>
        </is>
      </c>
      <c r="K20" s="2" t="n"/>
    </row>
    <row r="21">
      <c r="A21" s="2" t="inlineStr">
        <is>
          <t>SM-18</t>
        </is>
      </c>
      <c r="B21" s="2" t="inlineStr">
        <is>
          <t>Save a list (small)</t>
        </is>
      </c>
      <c r="C21" s="2" t="inlineStr">
        <is>
          <t>saveList()</t>
        </is>
      </c>
      <c r="D21" s="2" t="inlineStr">
        <is>
          <t>Functional</t>
        </is>
      </c>
      <c r="E21" s="2" t="inlineStr">
        <is>
          <t>Sample data or 50 selected</t>
        </is>
      </c>
      <c r="F21" s="2" t="inlineStr">
        <is>
          <t>Save</t>
        </is>
      </c>
      <c r="G21" s="2" t="inlineStr">
        <is>
          <t>Toast "Saved as …"</t>
        </is>
      </c>
      <c r="H21" s="2" t="inlineStr">
        <is>
          <t>Critical</t>
        </is>
      </c>
      <c r="I21" s="2" t="inlineStr">
        <is>
          <t>Playwright</t>
        </is>
      </c>
      <c r="J21" s="11" t="inlineStr">
        <is>
          <t>Pass</t>
        </is>
      </c>
      <c r="K21" s="2" t="n"/>
    </row>
    <row r="22">
      <c r="A22" s="2" t="inlineStr">
        <is>
          <t>SM-19</t>
        </is>
      </c>
      <c r="B22" s="2" t="inlineStr">
        <is>
          <t>Save a list (full dataset)</t>
        </is>
      </c>
      <c r="C22" s="2" t="inlineStr">
        <is>
          <t>saveList()</t>
        </is>
      </c>
      <c r="D22" s="2" t="inlineStr">
        <is>
          <t>Functional</t>
        </is>
      </c>
      <c r="E22" s="2" t="inlineStr">
        <is>
          <t>Lead_Research_Sample_Dataset.xlsx</t>
        </is>
      </c>
      <c r="F22" s="2" t="inlineStr">
        <is>
          <t>Save list → Save</t>
        </is>
      </c>
      <c r="G22" s="2" t="inlineStr">
        <is>
          <t>Saved</t>
        </is>
      </c>
      <c r="H22" s="2" t="inlineStr">
        <is>
          <t>Critical</t>
        </is>
      </c>
      <c r="I22" s="2" t="inlineStr">
        <is>
          <t>Playwright</t>
        </is>
      </c>
      <c r="J22" s="12" t="inlineStr">
        <is>
          <t>Fail</t>
        </is>
      </c>
      <c r="K22" s="2" t="inlineStr">
        <is>
          <t>Storage quota exceeded (see CT-26)</t>
        </is>
      </c>
    </row>
    <row r="23">
      <c r="A23" s="2" t="inlineStr">
        <is>
          <t>SM-20</t>
        </is>
      </c>
      <c r="B23" s="2" t="inlineStr">
        <is>
          <t>Saved list appears and survives a reload</t>
        </is>
      </c>
      <c r="C23" s="2" t="inlineStr">
        <is>
          <t>loadLists()</t>
        </is>
      </c>
      <c r="D23" s="2" t="inlineStr">
        <is>
          <t>Non-functional · persistence</t>
        </is>
      </c>
      <c r="E23" s="2" t="inlineStr">
        <is>
          <t>One saved list</t>
        </is>
      </c>
      <c r="F23" s="2" t="inlineStr">
        <is>
          <t>Reload; open Saved lists</t>
        </is>
      </c>
      <c r="G23" s="2" t="inlineStr">
        <is>
          <t>List still there</t>
        </is>
      </c>
      <c r="H23" s="2" t="inlineStr">
        <is>
          <t>High</t>
        </is>
      </c>
      <c r="I23" s="2" t="inlineStr">
        <is>
          <t>Playwright</t>
        </is>
      </c>
      <c r="J23" s="11" t="inlineStr">
        <is>
          <t>Pass</t>
        </is>
      </c>
      <c r="K23" s="2" t="inlineStr">
        <is>
          <t>Still listed after reload</t>
        </is>
      </c>
    </row>
    <row r="24">
      <c r="A24" s="2" t="inlineStr">
        <is>
          <t>SM-21</t>
        </is>
      </c>
      <c r="B24" s="2" t="inlineStr">
        <is>
          <t>Go to Scoring from a saved list</t>
        </is>
      </c>
      <c r="C24" s="2" t="inlineStr">
        <is>
          <t>Score →</t>
        </is>
      </c>
      <c r="D24" s="2" t="inlineStr">
        <is>
          <t>Functional</t>
        </is>
      </c>
      <c r="E24" s="2" t="inlineStr">
        <is>
          <t>One saved list</t>
        </is>
      </c>
      <c r="F24" s="2" t="inlineStr">
        <is>
          <t>Click Score →</t>
        </is>
      </c>
      <c r="G24" s="2" t="inlineStr">
        <is>
          <t>11-scoring.html opens with the list</t>
        </is>
      </c>
      <c r="H24" s="2" t="inlineStr">
        <is>
          <t>Critical</t>
        </is>
      </c>
      <c r="I24" s="2" t="inlineStr">
        <is>
          <t>Playwright</t>
        </is>
      </c>
      <c r="J24" s="11" t="inlineStr">
        <is>
          <t>Pass</t>
        </is>
      </c>
      <c r="K24" s="2" t="n"/>
    </row>
    <row r="25">
      <c r="A25" s="2" t="inlineStr">
        <is>
          <t>SM-22</t>
        </is>
      </c>
      <c r="B25" s="2" t="inlineStr">
        <is>
          <t>Template downloads</t>
        </is>
      </c>
      <c r="C25" s="2" t="inlineStr">
        <is>
          <t>downloadTemplate()</t>
        </is>
      </c>
      <c r="D25" s="2" t="inlineStr">
        <is>
          <t>Functional</t>
        </is>
      </c>
      <c r="E25" s="2" t="inlineStr">
        <is>
          <t>—</t>
        </is>
      </c>
      <c r="F25" s="2" t="inlineStr">
        <is>
          <t>Click</t>
        </is>
      </c>
      <c r="G25" s="2" t="inlineStr">
        <is>
          <t>lead_template.csv</t>
        </is>
      </c>
      <c r="H25" s="2" t="inlineStr">
        <is>
          <t>Medium</t>
        </is>
      </c>
      <c r="I25" s="2" t="inlineStr">
        <is>
          <t>Playwright</t>
        </is>
      </c>
      <c r="J25" s="11" t="inlineStr">
        <is>
          <t>Pass</t>
        </is>
      </c>
      <c r="K25" s="2" t="n"/>
    </row>
    <row r="26">
      <c r="A26" s="2" t="inlineStr">
        <is>
          <t>SM-23</t>
        </is>
      </c>
      <c r="B26" s="2" t="inlineStr">
        <is>
          <t>Wrong file type refused</t>
        </is>
      </c>
      <c r="C26" s="2" t="inlineStr">
        <is>
          <t>readFileToGrids()</t>
        </is>
      </c>
      <c r="D26" s="2" t="inlineStr">
        <is>
          <t>Functional</t>
        </is>
      </c>
      <c r="E26" s="2" t="inlineStr">
        <is>
          <t>bad.txt</t>
        </is>
      </c>
      <c r="F26" s="2" t="inlineStr">
        <is>
          <t>Upload</t>
        </is>
      </c>
      <c r="G26" s="2" t="inlineStr">
        <is>
          <t>Toast</t>
        </is>
      </c>
      <c r="H26" s="2" t="inlineStr">
        <is>
          <t>High</t>
        </is>
      </c>
      <c r="I26" s="2" t="inlineStr">
        <is>
          <t>Playwright</t>
        </is>
      </c>
      <c r="J26" s="11" t="inlineStr">
        <is>
          <t>Pass</t>
        </is>
      </c>
      <c r="K26" s="2" t="n"/>
    </row>
    <row r="27">
      <c r="A27" s="2" t="inlineStr">
        <is>
          <t>SM-24</t>
        </is>
      </c>
      <c r="B27" s="2" t="inlineStr">
        <is>
          <t>File with no header refused safely</t>
        </is>
      </c>
      <c r="C27" s="2" t="inlineStr">
        <is>
          <t>readTable()</t>
        </is>
      </c>
      <c r="D27" s="2" t="inlineStr">
        <is>
          <t>Functional</t>
        </is>
      </c>
      <c r="E27" s="2" t="inlineStr">
        <is>
          <t>CSV without template headers</t>
        </is>
      </c>
      <c r="F27" s="2" t="inlineStr">
        <is>
          <t>Upload</t>
        </is>
      </c>
      <c r="G27" s="2" t="inlineStr">
        <is>
          <t>1 stop issue; save disabled</t>
        </is>
      </c>
      <c r="H27" s="2" t="inlineStr">
        <is>
          <t>High</t>
        </is>
      </c>
      <c r="I27" s="2" t="inlineStr">
        <is>
          <t>Playwright</t>
        </is>
      </c>
      <c r="J27" s="11" t="inlineStr">
        <is>
          <t>Pass</t>
        </is>
      </c>
      <c r="K27" s="2" t="n"/>
    </row>
    <row r="28">
      <c r="A28" s="2" t="inlineStr">
        <is>
          <t>SM-25</t>
        </is>
      </c>
      <c r="B28" s="2" t="inlineStr">
        <is>
          <t>Role without access is blocked</t>
        </is>
      </c>
      <c r="C28" s="2" t="inlineStr">
        <is>
          <t>applyRoleToNav()</t>
        </is>
      </c>
      <c r="D28" s="2" t="inlineStr">
        <is>
          <t>Functional</t>
        </is>
      </c>
      <c r="E28" s="2" t="inlineStr">
        <is>
          <t>Role Viewer</t>
        </is>
      </c>
      <c r="F28" s="2" t="inlineStr">
        <is>
          <t>Reload</t>
        </is>
      </c>
      <c r="G28" s="2" t="inlineStr">
        <is>
          <t>No-access screen</t>
        </is>
      </c>
      <c r="H28" s="2" t="inlineStr">
        <is>
          <t>High</t>
        </is>
      </c>
      <c r="I28" s="2" t="inlineStr">
        <is>
          <t>Playwright</t>
        </is>
      </c>
      <c r="J28" s="11" t="inlineStr">
        <is>
          <t>Pass</t>
        </is>
      </c>
      <c r="K28" s="2" t="n"/>
    </row>
    <row r="29">
      <c r="A29" s="2" t="inlineStr">
        <is>
          <t>SM-26</t>
        </is>
      </c>
      <c r="B29" s="2" t="inlineStr">
        <is>
          <t>Narrow screen does not scroll sideways</t>
        </is>
      </c>
      <c r="C29" s="2" t="inlineStr">
        <is>
          <t>Layout</t>
        </is>
      </c>
      <c r="D29" s="2" t="inlineStr">
        <is>
          <t>Non-functional · compatibility</t>
        </is>
      </c>
      <c r="E29" s="2" t="inlineStr">
        <is>
          <t>390 × 844 viewport</t>
        </is>
      </c>
      <c r="F29" s="2" t="inlineStr">
        <is>
          <t>Open the upload screen</t>
        </is>
      </c>
      <c r="G29" s="2" t="inlineStr">
        <is>
          <t>No horizontal page scroll</t>
        </is>
      </c>
      <c r="H29" s="2" t="inlineStr">
        <is>
          <t>Medium</t>
        </is>
      </c>
      <c r="I29" s="2" t="inlineStr">
        <is>
          <t>Playwright viewport</t>
        </is>
      </c>
      <c r="J29" s="11" t="inlineStr">
        <is>
          <t>Pass</t>
        </is>
      </c>
      <c r="K29" s="2" t="inlineStr">
        <is>
          <t>Upload screen only; result tables not checked</t>
        </is>
      </c>
    </row>
    <row r="30">
      <c r="A30" s="2" t="inlineStr">
        <is>
          <t>SM-27</t>
        </is>
      </c>
      <c r="B30" s="2" t="inlineStr">
        <is>
          <t>Other browsers</t>
        </is>
      </c>
      <c r="C30" s="2" t="inlineStr">
        <is>
          <t>Whole page</t>
        </is>
      </c>
      <c r="D30" s="2" t="inlineStr">
        <is>
          <t>Non-functional · compatibility</t>
        </is>
      </c>
      <c r="E30" s="2" t="inlineStr">
        <is>
          <t>Firefox, Safari (WebKit)</t>
        </is>
      </c>
      <c r="F30" s="2" t="inlineStr">
        <is>
          <t>Repeat SM-01 to SM-18</t>
        </is>
      </c>
      <c r="G30" s="2" t="inlineStr">
        <is>
          <t>Same results</t>
        </is>
      </c>
      <c r="H30" s="2" t="inlineStr">
        <is>
          <t>Medium</t>
        </is>
      </c>
      <c r="I30" s="2" t="inlineStr">
        <is>
          <t>Playwright projects</t>
        </is>
      </c>
      <c r="J30" s="14" t="inlineStr">
        <is>
          <t>Not run</t>
        </is>
      </c>
      <c r="K30" s="2" t="n"/>
    </row>
  </sheetData>
  <autoFilter ref="A3:K30"/>
  <dataValidations count="1">
    <dataValidation sqref="J4:J30" showDropDown="0" showInputMessage="0" showErrorMessage="0" allowBlank="1" type="list">
      <formula1>"Pass,Fail,Gap,Not run,Blocked"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30" customWidth="1" min="3" max="3"/>
    <col width="24" customWidth="1" min="4" max="4"/>
    <col width="40" customWidth="1" min="5" max="5"/>
    <col width="34" customWidth="1" min="6" max="6"/>
    <col width="48" customWidth="1" min="7" max="7"/>
    <col width="10" customWidth="1" min="8" max="8"/>
    <col width="30" customWidth="1" min="9" max="9"/>
    <col width="14" customWidth="1" min="10" max="10"/>
    <col width="56" customWidth="1" min="11" max="11"/>
  </cols>
  <sheetData>
    <row r="1">
      <c r="A1" s="4" t="inlineStr">
        <is>
          <t>UAT tests · Business scenarios from the Lead discovery and research flow (3.1–3.6), run by sales ops or the client with the generated dataset and its answer key.</t>
        </is>
      </c>
    </row>
    <row r="3">
      <c r="A3" s="3" t="inlineStr">
        <is>
          <t>ID</t>
        </is>
      </c>
      <c r="B3" s="3" t="inlineStr">
        <is>
          <t>Test case</t>
        </is>
      </c>
      <c r="C3" s="3" t="inlineStr">
        <is>
          <t>Function / component under test</t>
        </is>
      </c>
      <c r="D3" s="3" t="inlineStr">
        <is>
          <t>Aspect</t>
        </is>
      </c>
      <c r="E3" s="3" t="inlineStr">
        <is>
          <t>Preconditions and test data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Priority</t>
        </is>
      </c>
      <c r="I3" s="3" t="inlineStr">
        <is>
          <t>How to automate</t>
        </is>
      </c>
      <c r="J3" s="3" t="inlineStr">
        <is>
          <t>First run (3 Oct 2026)</t>
        </is>
      </c>
      <c r="K3" s="3" t="inlineStr">
        <is>
          <t>Observed</t>
        </is>
      </c>
    </row>
    <row r="4">
      <c r="A4" s="2" t="inlineStr">
        <is>
          <t>UAT-01</t>
        </is>
      </c>
      <c r="B4" s="2" t="inlineStr">
        <is>
          <t>Sales ops can upload the client's file and get a validation result in under a minute</t>
        </is>
      </c>
      <c r="C4" s="2" t="inlineStr">
        <is>
          <t>3.1 Upload and map</t>
        </is>
      </c>
      <c r="D4" s="2" t="inlineStr">
        <is>
          <t>Non-functional · performance + Functional</t>
        </is>
      </c>
      <c r="E4" s="2" t="inlineStr">
        <is>
          <t>Lead_Research_Sample_Dataset.xlsx</t>
        </is>
      </c>
      <c r="F4" s="2" t="inlineStr">
        <is>
          <t>Upload the file as received</t>
        </is>
      </c>
      <c r="G4" s="2" t="inlineStr">
        <is>
          <t>Result visible within 60 s, columns mapped automatically</t>
        </is>
      </c>
      <c r="H4" s="2" t="inlineStr">
        <is>
          <t>Critical</t>
        </is>
      </c>
      <c r="I4" s="2" t="inlineStr">
        <is>
          <t>Manual, timed</t>
        </is>
      </c>
      <c r="J4" s="11" t="inlineStr">
        <is>
          <t>Pass</t>
        </is>
      </c>
      <c r="K4" s="2" t="inlineStr">
        <is>
          <t>6.4 s to the check summary, 13.7 s to the list</t>
        </is>
      </c>
    </row>
    <row r="5">
      <c r="A5" s="2" t="inlineStr">
        <is>
          <t>UAT-02</t>
        </is>
      </c>
      <c r="B5" s="2" t="inlineStr">
        <is>
          <t>Columns in any order and with stars or different case are mapped</t>
        </is>
      </c>
      <c r="C5" s="2" t="inlineStr">
        <is>
          <t>3.1 Upload and map</t>
        </is>
      </c>
      <c r="D5" s="2" t="inlineStr">
        <is>
          <t>Functional</t>
        </is>
      </c>
      <c r="E5" s="2" t="inlineStr">
        <is>
          <t>Template with shuffled, upper-case columns</t>
        </is>
      </c>
      <c r="F5" s="2" t="inlineStr">
        <is>
          <t>Upload</t>
        </is>
      </c>
      <c r="G5" s="2" t="inlineStr">
        <is>
          <t>No column issues</t>
        </is>
      </c>
      <c r="H5" s="2" t="inlineStr">
        <is>
          <t>High</t>
        </is>
      </c>
      <c r="I5" s="2" t="inlineStr">
        <is>
          <t>Manual</t>
        </is>
      </c>
      <c r="J5" s="11" t="inlineStr">
        <is>
          <t>Pass</t>
        </is>
      </c>
      <c r="K5" s="2" t="inlineStr">
        <is>
          <t>Covered by UT-04</t>
        </is>
      </c>
    </row>
    <row r="6">
      <c r="A6" s="2" t="inlineStr">
        <is>
          <t>UAT-03</t>
        </is>
      </c>
      <c r="B6" s="2" t="inlineStr">
        <is>
          <t>Every missing required field is reported with a plain fix</t>
        </is>
      </c>
      <c r="C6" s="2" t="inlineStr">
        <is>
          <t>3.2 Check</t>
        </is>
      </c>
      <c r="D6" s="2" t="inlineStr">
        <is>
          <t>Functional + usability</t>
        </is>
      </c>
      <c r="E6" s="2" t="inlineStr">
        <is>
          <t>Row key MF-* rows</t>
        </is>
      </c>
      <c r="F6" s="2" t="inlineStr">
        <is>
          <t>Look up 10 MF rows in the list</t>
        </is>
      </c>
      <c r="G6" s="2" t="inlineStr">
        <is>
          <t>Each row shows the problem, what happens and how to fix it</t>
        </is>
      </c>
      <c r="H6" s="2" t="inlineStr">
        <is>
          <t>Critical</t>
        </is>
      </c>
      <c r="I6" s="2" t="inlineStr">
        <is>
          <t>Manual sample of 10 rows</t>
        </is>
      </c>
      <c r="J6" s="11" t="inlineStr">
        <is>
          <t>Pass</t>
        </is>
      </c>
      <c r="K6" s="2" t="inlineStr">
        <is>
          <t>100% of MF-* rows flagged</t>
        </is>
      </c>
    </row>
    <row r="7">
      <c r="A7" s="2" t="inlineStr">
        <is>
          <t>UAT-04</t>
        </is>
      </c>
      <c r="B7" s="2" t="inlineStr">
        <is>
          <t>Duplicates are merged so nobody is contacted twice</t>
        </is>
      </c>
      <c r="C7" s="2" t="inlineStr">
        <is>
          <t>3.2 Check</t>
        </is>
      </c>
      <c r="D7" s="2" t="inlineStr">
        <is>
          <t>Functional</t>
        </is>
      </c>
      <c r="E7" s="2" t="inlineStr">
        <is>
          <t>Row key DUP-EXACT, DUP-EMAIL-CASE, DUP-UPDATED</t>
        </is>
      </c>
      <c r="F7" s="2" t="inlineStr">
        <is>
          <t>Search the duplicated names</t>
        </is>
      </c>
      <c r="G7" s="2" t="inlineStr">
        <is>
          <t>One contact each; "Duplicate of row N" shown</t>
        </is>
      </c>
      <c r="H7" s="2" t="inlineStr">
        <is>
          <t>Critical</t>
        </is>
      </c>
      <c r="I7" s="2" t="inlineStr">
        <is>
          <t>Manual</t>
        </is>
      </c>
      <c r="J7" s="11" t="inlineStr">
        <is>
          <t>Pass</t>
        </is>
      </c>
      <c r="K7" s="2" t="inlineStr">
        <is>
          <t>280 of 280 merged</t>
        </is>
      </c>
    </row>
    <row r="8">
      <c r="A8" s="2" t="inlineStr">
        <is>
          <t>UAT-05</t>
        </is>
      </c>
      <c r="B8" s="2" t="inlineStr">
        <is>
          <t>Likely duplicates the rules can't prove (alias emails, same name and company) are shown for review</t>
        </is>
      </c>
      <c r="C8" s="2" t="inlineStr">
        <is>
          <t>3.2 Check</t>
        </is>
      </c>
      <c r="D8" s="2" t="inlineStr">
        <is>
          <t>Functional</t>
        </is>
      </c>
      <c r="E8" s="2" t="inlineStr">
        <is>
          <t>Row key DUP-FUZZY</t>
        </is>
      </c>
      <c r="F8" s="2" t="inlineStr">
        <is>
          <t>Search the names</t>
        </is>
      </c>
      <c r="G8" s="2" t="inlineStr">
        <is>
          <t>Flagged as possible duplicates</t>
        </is>
      </c>
      <c r="H8" s="2" t="inlineStr">
        <is>
          <t>High</t>
        </is>
      </c>
      <c r="I8" s="2" t="inlineStr">
        <is>
          <t>Manual</t>
        </is>
      </c>
      <c r="J8" s="13" t="inlineStr">
        <is>
          <t>Gap</t>
        </is>
      </c>
      <c r="K8" s="2" t="inlineStr">
        <is>
          <t>67 of 70 not flagged: the same person can be contacted twice</t>
        </is>
      </c>
    </row>
    <row r="9">
      <c r="A9" s="2" t="inlineStr">
        <is>
          <t>UAT-06</t>
        </is>
      </c>
      <c r="B9" s="2" t="inlineStr">
        <is>
          <t>One company written two ways is treated as one account</t>
        </is>
      </c>
      <c r="C9" s="2" t="inlineStr">
        <is>
          <t>3.2 Check</t>
        </is>
      </c>
      <c r="D9" s="2" t="inlineStr">
        <is>
          <t>Functional</t>
        </is>
      </c>
      <c r="E9" s="2" t="inlineStr">
        <is>
          <t>Account key name_variant_used</t>
        </is>
      </c>
      <c r="F9" s="2" t="inlineStr">
        <is>
          <t>Open Accounts; search the company</t>
        </is>
      </c>
      <c r="G9" s="2" t="inlineStr">
        <is>
          <t>One account</t>
        </is>
      </c>
      <c r="H9" s="2" t="inlineStr">
        <is>
          <t>High</t>
        </is>
      </c>
      <c r="I9" s="2" t="inlineStr">
        <is>
          <t>Manual</t>
        </is>
      </c>
      <c r="J9" s="13" t="inlineStr">
        <is>
          <t>Gap</t>
        </is>
      </c>
      <c r="K9" s="2" t="inlineStr">
        <is>
          <t>43 extra accounts created (1,443 shown vs 1,400 real)</t>
        </is>
      </c>
    </row>
    <row r="10">
      <c r="A10" s="2" t="inlineStr">
        <is>
          <t>UAT-07</t>
        </is>
      </c>
      <c r="B10" s="2" t="inlineStr">
        <is>
          <t>Invalid emails are never used as a channel</t>
        </is>
      </c>
      <c r="C10" s="2" t="inlineStr">
        <is>
          <t>3.2 Check</t>
        </is>
      </c>
      <c r="D10" s="2" t="inlineStr">
        <is>
          <t>Functional</t>
        </is>
      </c>
      <c r="E10" s="2" t="inlineStr">
        <is>
          <t>Row key EM-* rows</t>
        </is>
      </c>
      <c r="F10" s="2" t="inlineStr">
        <is>
          <t>Check "Reachable by" for those contacts</t>
        </is>
      </c>
      <c r="G10" s="2" t="inlineStr">
        <is>
          <t>Email not listed as a channel</t>
        </is>
      </c>
      <c r="H10" s="2" t="inlineStr">
        <is>
          <t>Critical</t>
        </is>
      </c>
      <c r="I10" s="2" t="inlineStr">
        <is>
          <t>Manual</t>
        </is>
      </c>
      <c r="J10" s="12" t="inlineStr">
        <is>
          <t>Fail</t>
        </is>
      </c>
      <c r="K10" s="2" t="inlineStr">
        <is>
          <t>Double-dot, trailing-dot and mailto: addresses still count as usable email (see UT-11)</t>
        </is>
      </c>
    </row>
    <row r="11">
      <c r="A11" s="2" t="inlineStr">
        <is>
          <t>UAT-08</t>
        </is>
      </c>
      <c r="B11" s="2" t="inlineStr">
        <is>
          <t>Personal, role and mismatched-domain emails are flagged for review</t>
        </is>
      </c>
      <c r="C11" s="2" t="inlineStr">
        <is>
          <t>3.2 Check</t>
        </is>
      </c>
      <c r="D11" s="2" t="inlineStr">
        <is>
          <t>Functional</t>
        </is>
      </c>
      <c r="E11" s="2" t="inlineStr">
        <is>
          <t>Row key EM-PERSONAL, EM-ROLE, EM-DOMAIN-MISMATCH</t>
        </is>
      </c>
      <c r="F11" s="2" t="inlineStr">
        <is>
          <t>Look at the Issues column</t>
        </is>
      </c>
      <c r="G11" s="2" t="inlineStr">
        <is>
          <t>Flagged</t>
        </is>
      </c>
      <c r="H11" s="2" t="inlineStr">
        <is>
          <t>High</t>
        </is>
      </c>
      <c r="I11" s="2" t="inlineStr">
        <is>
          <t>Manual</t>
        </is>
      </c>
      <c r="J11" s="13" t="inlineStr">
        <is>
          <t>Gap</t>
        </is>
      </c>
      <c r="K11" s="2" t="inlineStr">
        <is>
          <t>Not flagged; gmail and info@ addresses are treated as valid work emails</t>
        </is>
      </c>
    </row>
    <row r="12">
      <c r="A12" s="2" t="inlineStr">
        <is>
          <t>UAT-09</t>
        </is>
      </c>
      <c r="B12" s="2" t="inlineStr">
        <is>
          <t>Out-of-region accounts are excluded and the reason is logged</t>
        </is>
      </c>
      <c r="C12" s="2" t="inlineStr">
        <is>
          <t>3.5 Knock-outs</t>
        </is>
      </c>
      <c r="D12" s="2" t="inlineStr">
        <is>
          <t>Functional</t>
        </is>
      </c>
      <c r="E12" s="2" t="inlineStr">
        <is>
          <t>Account key ICP-REGION</t>
        </is>
      </c>
      <c r="F12" s="2" t="inlineStr">
        <is>
          <t>Accounts → Excluded</t>
        </is>
      </c>
      <c r="G12" s="2" t="inlineStr">
        <is>
          <t>Each shows "Outside the pilot region (country)"</t>
        </is>
      </c>
      <c r="H12" s="2" t="inlineStr">
        <is>
          <t>Critical</t>
        </is>
      </c>
      <c r="I12" s="2" t="inlineStr">
        <is>
          <t>Manual</t>
        </is>
      </c>
      <c r="J12" s="11" t="inlineStr">
        <is>
          <t>Pass</t>
        </is>
      </c>
      <c r="K12" s="2" t="n"/>
    </row>
    <row r="13">
      <c r="A13" s="2" t="inlineStr">
        <is>
          <t>UAT-10</t>
        </is>
      </c>
      <c r="B13" s="2" t="inlineStr">
        <is>
          <t>In-region accounts with a country written differently are kept</t>
        </is>
      </c>
      <c r="C13" s="2" t="inlineStr">
        <is>
          <t>3.5 Knock-outs</t>
        </is>
      </c>
      <c r="D13" s="2" t="inlineStr">
        <is>
          <t>Functional</t>
        </is>
      </c>
      <c r="E13" s="2" t="inlineStr">
        <is>
          <t>Account key FMT-COUNTRY</t>
        </is>
      </c>
      <c r="F13" s="2" t="inlineStr">
        <is>
          <t>Accounts → Excluded</t>
        </is>
      </c>
      <c r="G13" s="2" t="inlineStr">
        <is>
          <t>Not excluded</t>
        </is>
      </c>
      <c r="H13" s="2" t="inlineStr">
        <is>
          <t>Critical</t>
        </is>
      </c>
      <c r="I13" s="2" t="inlineStr">
        <is>
          <t>Manual</t>
        </is>
      </c>
      <c r="J13" s="12" t="inlineStr">
        <is>
          <t>Fail</t>
        </is>
      </c>
      <c r="K13" s="2" t="inlineStr">
        <is>
          <t>SG, Viet Nam, Phillipines and similar are excluded as out of region</t>
        </is>
      </c>
    </row>
    <row r="14">
      <c r="A14" s="2" t="inlineStr">
        <is>
          <t>UAT-11</t>
        </is>
      </c>
      <c r="B14" s="2" t="inlineStr">
        <is>
          <t>Accounts managed by a separate team are excluded</t>
        </is>
      </c>
      <c r="C14" s="2" t="inlineStr">
        <is>
          <t>3.5 Knock-outs</t>
        </is>
      </c>
      <c r="D14" s="2" t="inlineStr">
        <is>
          <t>Functional</t>
        </is>
      </c>
      <c r="E14" s="2" t="inlineStr">
        <is>
          <t>Account key ICP-MANAGED</t>
        </is>
      </c>
      <c r="F14" s="2" t="inlineStr">
        <is>
          <t>Accounts → Excluded</t>
        </is>
      </c>
      <c r="G14" s="2" t="inlineStr">
        <is>
          <t>"Managed separately by Client"</t>
        </is>
      </c>
      <c r="H14" s="2" t="inlineStr">
        <is>
          <t>Critical</t>
        </is>
      </c>
      <c r="I14" s="2" t="inlineStr">
        <is>
          <t>Manual</t>
        </is>
      </c>
      <c r="J14" s="11" t="inlineStr">
        <is>
          <t>Pass</t>
        </is>
      </c>
      <c r="K14" s="2" t="inlineStr">
        <is>
          <t>49 managed accounts: 41 excluded for this reason, 8 already excluded for region (that rule runs first)</t>
        </is>
      </c>
    </row>
    <row r="15">
      <c r="A15" s="2" t="inlineStr">
        <is>
          <t>UAT-12</t>
        </is>
      </c>
      <c r="B15" s="2" t="inlineStr">
        <is>
          <t>Opted-out contacts never reach the final list</t>
        </is>
      </c>
      <c r="C15" s="2" t="inlineStr">
        <is>
          <t>3.6 Suppression</t>
        </is>
      </c>
      <c r="D15" s="2" t="inlineStr">
        <is>
          <t>Functional</t>
        </is>
      </c>
      <c r="E15" s="2" t="inlineStr">
        <is>
          <t>Row key SUP-OPTOUT, SUP-OPTOUT-CONFLICT</t>
        </is>
      </c>
      <c r="F15" s="2" t="inlineStr">
        <is>
          <t>Filter "In the final list"; search them</t>
        </is>
      </c>
      <c r="G15" s="2" t="inlineStr">
        <is>
          <t>None present</t>
        </is>
      </c>
      <c r="H15" s="2" t="inlineStr">
        <is>
          <t>Critical</t>
        </is>
      </c>
      <c r="I15" s="2" t="inlineStr">
        <is>
          <t>Manual + automated check</t>
        </is>
      </c>
      <c r="J15" s="11" t="inlineStr">
        <is>
          <t>Pass</t>
        </is>
      </c>
      <c r="K15" s="2" t="inlineStr">
        <is>
          <t>0 opted-out or unconfirmed contacts in the final list</t>
        </is>
      </c>
    </row>
    <row r="16">
      <c r="A16" s="2" t="inlineStr">
        <is>
          <t>UAT-13</t>
        </is>
      </c>
      <c r="B16" s="2" t="inlineStr">
        <is>
          <t>Contacts with no or unknown consent basis are not contactable</t>
        </is>
      </c>
      <c r="C16" s="2" t="inlineStr">
        <is>
          <t>3.6 Suppression</t>
        </is>
      </c>
      <c r="D16" s="2" t="inlineStr">
        <is>
          <t>Functional</t>
        </is>
      </c>
      <c r="E16" s="2" t="inlineStr">
        <is>
          <t>Row key MF-CONSENT, FMT-CONSENT</t>
        </is>
      </c>
      <c r="F16" s="2" t="inlineStr">
        <is>
          <t>Filter "Not contactable"</t>
        </is>
      </c>
      <c r="G16" s="2" t="inlineStr">
        <is>
          <t>All present with the reason</t>
        </is>
      </c>
      <c r="H16" s="2" t="inlineStr">
        <is>
          <t>Critical</t>
        </is>
      </c>
      <c r="I16" s="2" t="inlineStr">
        <is>
          <t>Manual</t>
        </is>
      </c>
      <c r="J16" s="11" t="inlineStr">
        <is>
          <t>Pass</t>
        </is>
      </c>
      <c r="K16" s="2" t="n"/>
    </row>
    <row r="17">
      <c r="A17" s="2" t="inlineStr">
        <is>
          <t>UAT-14</t>
        </is>
      </c>
      <c r="B17" s="2" t="inlineStr">
        <is>
          <t>Consent basis is recorded per contact</t>
        </is>
      </c>
      <c r="C17" s="2" t="inlineStr">
        <is>
          <t>3.6 Suppression</t>
        </is>
      </c>
      <c r="D17" s="2" t="inlineStr">
        <is>
          <t>Functional</t>
        </is>
      </c>
      <c r="E17" s="2" t="inlineStr">
        <is>
          <t>Lead_Research_Sample_Dataset.xlsx</t>
        </is>
      </c>
      <c r="F17" s="2" t="inlineStr">
        <is>
          <t>Final list Consent column</t>
        </is>
      </c>
      <c r="G17" s="2" t="inlineStr">
        <is>
          <t>Every contact shows its basis</t>
        </is>
      </c>
      <c r="H17" s="2" t="inlineStr">
        <is>
          <t>High</t>
        </is>
      </c>
      <c r="I17" s="2" t="inlineStr">
        <is>
          <t>Manual</t>
        </is>
      </c>
      <c r="J17" s="11" t="inlineStr">
        <is>
          <t>Pass</t>
        </is>
      </c>
      <c r="K17" s="2" t="n"/>
    </row>
    <row r="18">
      <c r="A18" s="2" t="inlineStr">
        <is>
          <t>UAT-15</t>
        </is>
      </c>
      <c r="B18" s="2" t="inlineStr">
        <is>
          <t>Each account gets a vertical, account type, confidence and one-line reason</t>
        </is>
      </c>
      <c r="C18" s="2" t="inlineStr">
        <is>
          <t>3.4 Classify</t>
        </is>
      </c>
      <c r="D18" s="2" t="inlineStr">
        <is>
          <t>Functional</t>
        </is>
      </c>
      <c r="E18" s="2" t="inlineStr">
        <is>
          <t>Lead_Research_Sample_Dataset.xlsx</t>
        </is>
      </c>
      <c r="F18" s="2" t="inlineStr">
        <is>
          <t>Accounts tab</t>
        </is>
      </c>
      <c r="G18" s="2" t="inlineStr">
        <is>
          <t>All four shown for every account</t>
        </is>
      </c>
      <c r="H18" s="2" t="inlineStr">
        <is>
          <t>High</t>
        </is>
      </c>
      <c r="I18" s="2" t="inlineStr">
        <is>
          <t>Manual</t>
        </is>
      </c>
      <c r="J18" s="11" t="inlineStr">
        <is>
          <t>Pass</t>
        </is>
      </c>
      <c r="K18" s="2" t="n"/>
    </row>
    <row r="19">
      <c r="A19" s="2" t="inlineStr">
        <is>
          <t>UAT-16</t>
        </is>
      </c>
      <c r="B19" s="2" t="inlineStr">
        <is>
          <t>The "needs review" pile is manageable</t>
        </is>
      </c>
      <c r="C19" s="2" t="inlineStr">
        <is>
          <t>3.4 Classify</t>
        </is>
      </c>
      <c r="D19" s="2" t="inlineStr">
        <is>
          <t>Non-functional · usability</t>
        </is>
      </c>
      <c r="E19" s="2" t="inlineStr">
        <is>
          <t>Lead_Research_Sample_Dataset.xlsx</t>
        </is>
      </c>
      <c r="F19" s="2" t="inlineStr">
        <is>
          <t>Accounts → Needs review</t>
        </is>
      </c>
      <c r="G19" s="2" t="inlineStr">
        <is>
          <t>A small share of accounts</t>
        </is>
      </c>
      <c r="H19" s="2" t="inlineStr">
        <is>
          <t>Medium</t>
        </is>
      </c>
      <c r="I19" s="2" t="inlineStr">
        <is>
          <t>Manual</t>
        </is>
      </c>
      <c r="J19" s="13" t="inlineStr">
        <is>
          <t>Gap</t>
        </is>
      </c>
      <c r="K19" s="2" t="inlineStr">
        <is>
          <t>854 of 1,443 (59%); every out-of-ICP industry lands here until the AI classifier is connected</t>
        </is>
      </c>
    </row>
    <row r="20">
      <c r="A20" s="2" t="inlineStr">
        <is>
          <t>UAT-17</t>
        </is>
      </c>
      <c r="B20" s="2" t="inlineStr">
        <is>
          <t>Instrumentation and control engineers are recognised as the primary persona</t>
        </is>
      </c>
      <c r="C20" s="2" t="inlineStr">
        <is>
          <t>3.4 Classify</t>
        </is>
      </c>
      <c r="D20" s="2" t="inlineStr">
        <is>
          <t>Functional</t>
        </is>
      </c>
      <c r="E20" s="2" t="inlineStr">
        <is>
          <t>Titles from the dataset</t>
        </is>
      </c>
      <c r="F20" s="2" t="inlineStr">
        <is>
          <t>Filter by title "Instrument Engineer"</t>
        </is>
      </c>
      <c r="G20" s="2" t="inlineStr">
        <is>
          <t>Persona = Primary</t>
        </is>
      </c>
      <c r="H20" s="2" t="inlineStr">
        <is>
          <t>High</t>
        </is>
      </c>
      <c r="I20" s="2" t="inlineStr">
        <is>
          <t>Manual</t>
        </is>
      </c>
      <c r="J20" s="12" t="inlineStr">
        <is>
          <t>Fail</t>
        </is>
      </c>
      <c r="K20" s="2" t="inlineStr">
        <is>
          <t>Shown as "None" (see UT-20)</t>
        </is>
      </c>
    </row>
    <row r="21">
      <c r="A21" s="2" t="inlineStr">
        <is>
          <t>UAT-18</t>
        </is>
      </c>
      <c r="B21" s="2" t="inlineStr">
        <is>
          <t>Out-of-ICP industries and distributors end up below the fit floor in Scoring</t>
        </is>
      </c>
      <c r="C21" s="2" t="inlineStr">
        <is>
          <t>3.4 → Scoring</t>
        </is>
      </c>
      <c r="D21" s="2" t="inlineStr">
        <is>
          <t>Functional</t>
        </is>
      </c>
      <c r="E21" s="2" t="inlineStr">
        <is>
          <t>Account key ICP-INDUSTRY, ICP-DISTRIBUTOR</t>
        </is>
      </c>
      <c r="F21" s="2" t="inlineStr">
        <is>
          <t>Save the list; score it</t>
        </is>
      </c>
      <c r="G21" s="2" t="inlineStr">
        <is>
          <t>Below fit floor</t>
        </is>
      </c>
      <c r="H21" s="2" t="inlineStr">
        <is>
          <t>High</t>
        </is>
      </c>
      <c r="I21" s="2" t="inlineStr">
        <is>
          <t>Manual across pages</t>
        </is>
      </c>
      <c r="J21" s="14" t="inlineStr">
        <is>
          <t>Not run</t>
        </is>
      </c>
      <c r="K21" s="2" t="inlineStr">
        <is>
          <t>Blocked for the full file by CT-26</t>
        </is>
      </c>
    </row>
    <row r="22">
      <c r="A22" s="2" t="inlineStr">
        <is>
          <t>UAT-19</t>
        </is>
      </c>
      <c r="B22" s="2" t="inlineStr">
        <is>
          <t>Validation report can be sent back to the client</t>
        </is>
      </c>
      <c r="C22" s="2" t="inlineStr">
        <is>
          <t>3.2 Check ("the report goes back")</t>
        </is>
      </c>
      <c r="D22" s="2" t="inlineStr">
        <is>
          <t>Functional</t>
        </is>
      </c>
      <c r="E22" s="2" t="inlineStr">
        <is>
          <t>Lead_Research_Sample_Dataset.xlsx</t>
        </is>
      </c>
      <c r="F22" s="2" t="inlineStr">
        <is>
          <t>Look for an export of issues</t>
        </is>
      </c>
      <c r="G22" s="2" t="inlineStr">
        <is>
          <t>Download of every issue with row, field, problem and fix</t>
        </is>
      </c>
      <c r="H22" s="2" t="inlineStr">
        <is>
          <t>Critical</t>
        </is>
      </c>
      <c r="I22" s="2" t="inlineStr">
        <is>
          <t>Manual</t>
        </is>
      </c>
      <c r="J22" s="13" t="inlineStr">
        <is>
          <t>Gap</t>
        </is>
      </c>
      <c r="K22" s="2" t="inlineStr">
        <is>
          <t>No export on this page; issues can only be read on screen</t>
        </is>
      </c>
    </row>
    <row r="23">
      <c r="A23" s="2" t="inlineStr">
        <is>
          <t>UAT-20</t>
        </is>
      </c>
      <c r="B23" s="2" t="inlineStr">
        <is>
          <t>Every problem carries a data-quality code (D1–D6)</t>
        </is>
      </c>
      <c r="C23" s="2" t="inlineStr">
        <is>
          <t>3.3 Readiness gate</t>
        </is>
      </c>
      <c r="D23" s="2" t="inlineStr">
        <is>
          <t>Functional</t>
        </is>
      </c>
      <c r="E23" s="2" t="inlineStr">
        <is>
          <t>Lead_Research_Sample_Dataset.xlsx</t>
        </is>
      </c>
      <c r="F23" s="2" t="inlineStr">
        <is>
          <t>Look at the Issues column</t>
        </is>
      </c>
      <c r="G23" s="2" t="inlineStr">
        <is>
          <t>Code visible per issue</t>
        </is>
      </c>
      <c r="H23" s="2" t="inlineStr">
        <is>
          <t>High</t>
        </is>
      </c>
      <c r="I23" s="2" t="inlineStr">
        <is>
          <t>Manual</t>
        </is>
      </c>
      <c r="J23" s="13" t="inlineStr">
        <is>
          <t>Gap</t>
        </is>
      </c>
      <c r="K23" s="2" t="inlineStr">
        <is>
          <t>Codes exist in the engine but are not shown in the table</t>
        </is>
      </c>
    </row>
    <row r="24">
      <c r="A24" s="2" t="inlineStr">
        <is>
          <t>UAT-21</t>
        </is>
      </c>
      <c r="B24" s="2" t="inlineStr">
        <is>
          <t>Readiness gate: is the data sufficient to start measuring?</t>
        </is>
      </c>
      <c r="C24" s="2" t="inlineStr">
        <is>
          <t>3.3 Readiness gate</t>
        </is>
      </c>
      <c r="D24" s="2" t="inlineStr">
        <is>
          <t>Functional</t>
        </is>
      </c>
      <c r="E24" s="2" t="inlineStr">
        <is>
          <t>Lead_Research_Sample_Dataset.xlsx</t>
        </is>
      </c>
      <c r="F24" s="2" t="inlineStr">
        <is>
          <t>Look for coverage, recency, contactability, baseline summary</t>
        </is>
      </c>
      <c r="G24" s="2" t="inlineStr">
        <is>
          <t>A go / no-go readiness report</t>
        </is>
      </c>
      <c r="H24" s="2" t="inlineStr">
        <is>
          <t>High</t>
        </is>
      </c>
      <c r="I24" s="2" t="inlineStr">
        <is>
          <t>Manual</t>
        </is>
      </c>
      <c r="J24" s="13" t="inlineStr">
        <is>
          <t>Gap</t>
        </is>
      </c>
      <c r="K24" s="2" t="inlineStr">
        <is>
          <t>Not on this page (only the check list and counts)</t>
        </is>
      </c>
    </row>
    <row r="25">
      <c r="A25" s="2" t="inlineStr">
        <is>
          <t>UAT-22</t>
        </is>
      </c>
      <c r="B25" s="2" t="inlineStr">
        <is>
          <t>Nothing is changed silently</t>
        </is>
      </c>
      <c r="C25" s="2" t="inlineStr">
        <is>
          <t>3.2 Check</t>
        </is>
      </c>
      <c r="D25" s="2" t="inlineStr">
        <is>
          <t>Functional</t>
        </is>
      </c>
      <c r="E25" s="2" t="inlineStr">
        <is>
          <t>Rows with $ numbers, Yes/No, whitespace</t>
        </is>
      </c>
      <c r="F25" s="2" t="inlineStr">
        <is>
          <t>Compare list values to the file</t>
        </is>
      </c>
      <c r="G25" s="2" t="inlineStr">
        <is>
          <t>Original values shown; every reformat has an issue</t>
        </is>
      </c>
      <c r="H25" s="2" t="inlineStr">
        <is>
          <t>High</t>
        </is>
      </c>
      <c r="I25" s="2" t="inlineStr">
        <is>
          <t>Manual</t>
        </is>
      </c>
      <c r="J25" s="11" t="inlineStr">
        <is>
          <t>Pass</t>
        </is>
      </c>
      <c r="K25" s="2" t="n"/>
    </row>
    <row r="26">
      <c r="A26" s="2" t="inlineStr">
        <is>
          <t>UAT-23</t>
        </is>
      </c>
      <c r="B26" s="2" t="inlineStr">
        <is>
          <t>Rep can send a chosen subset to Scoring</t>
        </is>
      </c>
      <c r="C26" s="2" t="inlineStr">
        <is>
          <t>Hand off</t>
        </is>
      </c>
      <c r="D26" s="2" t="inlineStr">
        <is>
          <t>Functional</t>
        </is>
      </c>
      <c r="E26" s="2" t="inlineStr">
        <is>
          <t>Lead_Research_Sample_Dataset.xlsx</t>
        </is>
      </c>
      <c r="F26" s="2" t="inlineStr">
        <is>
          <t>Select 50 contacts → Send to Scoring</t>
        </is>
      </c>
      <c r="G26" s="2" t="inlineStr">
        <is>
          <t>Scoring opens with those 50</t>
        </is>
      </c>
      <c r="H26" s="2" t="inlineStr">
        <is>
          <t>High</t>
        </is>
      </c>
      <c r="I26" s="2" t="inlineStr">
        <is>
          <t>Manual</t>
        </is>
      </c>
      <c r="J26" s="11" t="inlineStr">
        <is>
          <t>Pass</t>
        </is>
      </c>
      <c r="K26" s="2" t="inlineStr">
        <is>
          <t>Saved as "… · 50 selected"; Scoring opens with the list id</t>
        </is>
      </c>
    </row>
    <row r="27">
      <c r="A27" s="2" t="inlineStr">
        <is>
          <t>UAT-24</t>
        </is>
      </c>
      <c r="B27" s="2" t="inlineStr">
        <is>
          <t>Manager can save the whole screened universe and hand it to Scoring</t>
        </is>
      </c>
      <c r="C27" s="2" t="inlineStr">
        <is>
          <t>Hand off</t>
        </is>
      </c>
      <c r="D27" s="2" t="inlineStr">
        <is>
          <t>Functional + capacity</t>
        </is>
      </c>
      <c r="E27" s="2" t="inlineStr">
        <is>
          <t>Lead_Research_Sample_Dataset.xlsx</t>
        </is>
      </c>
      <c r="F27" s="2" t="inlineStr">
        <is>
          <t>Save and go to Scoring</t>
        </is>
      </c>
      <c r="G27" s="2" t="inlineStr">
        <is>
          <t>Scoring opens with all 1,168 accounts</t>
        </is>
      </c>
      <c r="H27" s="2" t="inlineStr">
        <is>
          <t>Critical</t>
        </is>
      </c>
      <c r="I27" s="2" t="inlineStr">
        <is>
          <t>Manual</t>
        </is>
      </c>
      <c r="J27" s="12" t="inlineStr">
        <is>
          <t>Fail</t>
        </is>
      </c>
      <c r="K27" s="2" t="inlineStr">
        <is>
          <t>Fails at save: list too large for browser storage (CT-26)</t>
        </is>
      </c>
    </row>
    <row r="28">
      <c r="A28" s="2" t="inlineStr">
        <is>
          <t>UAT-25</t>
        </is>
      </c>
      <c r="B28" s="2" t="inlineStr">
        <is>
          <t>Working through 7.5k rows is comfortable</t>
        </is>
      </c>
      <c r="C28" s="2" t="inlineStr">
        <is>
          <t>Final list</t>
        </is>
      </c>
      <c r="D28" s="2" t="inlineStr">
        <is>
          <t>Non-functional · performance / usability</t>
        </is>
      </c>
      <c r="E28" s="2" t="inlineStr">
        <is>
          <t>Lead_Research_Sample_Dataset.xlsx</t>
        </is>
      </c>
      <c r="F28" s="2" t="inlineStr">
        <is>
          <t>Search, filter, scroll for 5 minutes</t>
        </is>
      </c>
      <c r="G28" s="2" t="inlineStr">
        <is>
          <t>No freezes over 1 s</t>
        </is>
      </c>
      <c r="H28" s="2" t="inlineStr">
        <is>
          <t>High</t>
        </is>
      </c>
      <c r="I28" s="2" t="inlineStr">
        <is>
          <t>Manual</t>
        </is>
      </c>
      <c r="J28" s="12" t="inlineStr">
        <is>
          <t>Fail</t>
        </is>
      </c>
      <c r="K28" s="2" t="inlineStr">
        <is>
          <t>Each keystroke freezes the page for 2.5 s or more; first render 7.3 s</t>
        </is>
      </c>
    </row>
    <row r="29">
      <c r="A29" s="2" t="inlineStr">
        <is>
          <t>UAT-26</t>
        </is>
      </c>
      <c r="B29" s="2" t="inlineStr">
        <is>
          <t>Screens are clear without training</t>
        </is>
      </c>
      <c r="C29" s="2" t="inlineStr">
        <is>
          <t>Whole page</t>
        </is>
      </c>
      <c r="D29" s="2" t="inlineStr">
        <is>
          <t>Non-functional · usability</t>
        </is>
      </c>
      <c r="E29" s="2" t="inlineStr">
        <is>
          <t>New user</t>
        </is>
      </c>
      <c r="F29" s="2" t="inlineStr">
        <is>
          <t>Think-aloud session: upload, find the problems, save</t>
        </is>
      </c>
      <c r="G29" s="2" t="inlineStr">
        <is>
          <t>Completes without help</t>
        </is>
      </c>
      <c r="H29" s="2" t="inlineStr">
        <is>
          <t>Medium</t>
        </is>
      </c>
      <c r="I29" s="2" t="inlineStr">
        <is>
          <t>Moderated session</t>
        </is>
      </c>
      <c r="J29" s="14" t="inlineStr">
        <is>
          <t>Not run</t>
        </is>
      </c>
      <c r="K29" s="2" t="n"/>
    </row>
    <row r="30">
      <c r="A30" s="2" t="inlineStr">
        <is>
          <t>UAT-27</t>
        </is>
      </c>
      <c r="B30" s="2" t="inlineStr">
        <is>
          <t>Lead data stays in the browser during the PoC</t>
        </is>
      </c>
      <c r="C30" s="2" t="inlineStr">
        <is>
          <t>Whole page</t>
        </is>
      </c>
      <c r="D30" s="2" t="inlineStr">
        <is>
          <t>Non-functional · security / privacy</t>
        </is>
      </c>
      <c r="E30" s="2" t="inlineStr">
        <is>
          <t>Lead_Research_Sample_Dataset.xlsx</t>
        </is>
      </c>
      <c r="F30" s="2" t="inlineStr">
        <is>
          <t>Watch network traffic during upload and save</t>
        </is>
      </c>
      <c r="G30" s="2" t="inlineStr">
        <is>
          <t>No request carries contact data</t>
        </is>
      </c>
      <c r="H30" s="2" t="inlineStr">
        <is>
          <t>High</t>
        </is>
      </c>
      <c r="I30" s="2" t="inlineStr">
        <is>
          <t>DevTools / Playwright request log</t>
        </is>
      </c>
      <c r="J30" s="14" t="inlineStr">
        <is>
          <t>Not run</t>
        </is>
      </c>
      <c r="K30" s="2" t="inlineStr">
        <is>
          <t>Code reads the file locally; to confirm with a request log</t>
        </is>
      </c>
    </row>
    <row r="31">
      <c r="A31" s="2" t="inlineStr">
        <is>
          <t>UAT-28</t>
        </is>
      </c>
      <c r="B31" s="2" t="inlineStr">
        <is>
          <t>A corrected file produces fewer issues</t>
        </is>
      </c>
      <c r="C31" s="2" t="inlineStr">
        <is>
          <t>3.2 Check</t>
        </is>
      </c>
      <c r="D31" s="2" t="inlineStr">
        <is>
          <t>Functional</t>
        </is>
      </c>
      <c r="E31" s="2" t="inlineStr">
        <is>
          <t>Lead_Research_Sample_Dataset.xlsx with 20 Row key rows fixed</t>
        </is>
      </c>
      <c r="F31" s="2" t="inlineStr">
        <is>
          <t>Re-upload</t>
        </is>
      </c>
      <c r="G31" s="2" t="inlineStr">
        <is>
          <t>Issue count drops by those rows</t>
        </is>
      </c>
      <c r="H31" s="2" t="inlineStr">
        <is>
          <t>Medium</t>
        </is>
      </c>
      <c r="I31" s="2" t="inlineStr">
        <is>
          <t>Manual</t>
        </is>
      </c>
      <c r="J31" s="14" t="inlineStr">
        <is>
          <t>Not run</t>
        </is>
      </c>
      <c r="K31" s="2" t="n"/>
    </row>
    <row r="32">
      <c r="A32" s="2" t="inlineStr">
        <is>
          <t>UAT-29</t>
        </is>
      </c>
      <c r="B32" s="2" t="inlineStr">
        <is>
          <t>Each role sees what it should</t>
        </is>
      </c>
      <c r="C32" s="2" t="inlineStr">
        <is>
          <t>Roles</t>
        </is>
      </c>
      <c r="D32" s="2" t="inlineStr">
        <is>
          <t>Functional + security</t>
        </is>
      </c>
      <c r="E32" s="2" t="inlineStr">
        <is>
          <t>Admin, Sales manager, Sales rep, Viewer</t>
        </is>
      </c>
      <c r="F32" s="2" t="inlineStr">
        <is>
          <t>Switch roles</t>
        </is>
      </c>
      <c r="G32" s="2" t="inlineStr">
        <is>
          <t>Viewer blocked; reps see only their accounts</t>
        </is>
      </c>
      <c r="H32" s="2" t="inlineStr">
        <is>
          <t>Medium</t>
        </is>
      </c>
      <c r="I32" s="2" t="inlineStr">
        <is>
          <t>Manual</t>
        </is>
      </c>
      <c r="J32" s="13" t="inlineStr">
        <is>
          <t>Gap</t>
        </is>
      </c>
      <c r="K32" s="2" t="inlineStr">
        <is>
          <t>Viewer blocked; reps still see every rep's accounts (owner not used to filter)</t>
        </is>
      </c>
    </row>
    <row r="33">
      <c r="A33" s="2" t="inlineStr">
        <is>
          <t>UAT-30</t>
        </is>
      </c>
      <c r="B33" s="2" t="inlineStr">
        <is>
          <t>Sample data is clearly marked as sandbox</t>
        </is>
      </c>
      <c r="C33" s="2" t="inlineStr">
        <is>
          <t>Sample data</t>
        </is>
      </c>
      <c r="D33" s="2" t="inlineStr">
        <is>
          <t>Functional</t>
        </is>
      </c>
      <c r="E33" s="2" t="inlineStr">
        <is>
          <t>Use sample data</t>
        </is>
      </c>
      <c r="F33" s="2" t="inlineStr">
        <is>
          <t>Save; open Saved lists</t>
        </is>
      </c>
      <c r="G33" s="2" t="inlineStr">
        <is>
          <t>Marked sandbox everywhere</t>
        </is>
      </c>
      <c r="H33" s="2" t="inlineStr">
        <is>
          <t>Low</t>
        </is>
      </c>
      <c r="I33" s="2" t="inlineStr">
        <is>
          <t>Manual</t>
        </is>
      </c>
      <c r="J33" s="14" t="inlineStr">
        <is>
          <t>Not run</t>
        </is>
      </c>
      <c r="K33" s="2" t="n"/>
    </row>
  </sheetData>
  <autoFilter ref="A3:K33"/>
  <dataValidations count="1">
    <dataValidation sqref="J4:J33" showDropDown="0" showInputMessage="0" showErrorMessage="0" allowBlank="1" type="list">
      <formula1>"Pass,Fail,Gap,Not run,Blocked"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2026-10-03T17:19:01Z</dcterms:created>
  <dcterms:modified xsi:type="dcterms:W3CDTF">2026-10-03T17:19:01Z</dcterms:modified>
</cp:coreProperties>
</file>